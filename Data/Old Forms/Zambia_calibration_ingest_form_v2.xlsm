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priya\Box Sync\Dissertation\EMOD\ZambiaCalib_1218\Data\"/>
    </mc:Choice>
  </mc:AlternateContent>
  <xr:revisionPtr revIDLastSave="0" documentId="13_ncr:1_{F03F74C8-9BFB-4AF5-8605-46AABD483830}" xr6:coauthVersionLast="40" xr6:coauthVersionMax="40" xr10:uidLastSave="{00000000-0000-0000-0000-000000000000}"/>
  <bookViews>
    <workbookView xWindow="162" yWindow="618" windowWidth="18402" windowHeight="14580" firstSheet="2" activeTab="7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opulation" sheetId="12" r:id="rId8"/>
    <sheet name="Sheet1" sheetId="15" r:id="rId9"/>
    <sheet name="Obs-Prevalence" sheetId="13" r:id="rId10"/>
    <sheet name="Obs-OnART" sheetId="14" r:id="rId11"/>
  </sheets>
  <functionGroups builtInGroupCount="19"/>
  <definedNames>
    <definedName name="additional_columns" localSheetId="10">'Obs-OnART'!$A$6:$L$6</definedName>
    <definedName name="additional_columns" localSheetId="7">'Obs-Population'!$A$6:$L$6</definedName>
    <definedName name="additional_columns" localSheetId="9">'Obs-Prevalence'!$A$6:$L$6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10">'Obs-OnART'!$B$1</definedName>
    <definedName name="channel_name" localSheetId="7">'Obs-Population'!$B$1</definedName>
    <definedName name="channel_name" localSheetId="9">'Obs-Prevalence'!$B$1</definedName>
    <definedName name="channel_pop_scaling" localSheetId="4">'Observations metadata'!$A$10:$L$10</definedName>
    <definedName name="channels" localSheetId="5">Analyzers!$A$7:$A$16</definedName>
    <definedName name="csv" localSheetId="10">'Obs-OnART'!$A$8:$H$1008</definedName>
    <definedName name="csv" localSheetId="7">'Obs-Population'!$A$8:$H$1007</definedName>
    <definedName name="csv" localSheetId="9">'Obs-Prevalence'!$A$8:$H$1008</definedName>
    <definedName name="custom_age_bins" localSheetId="5">Analyzers!$F$7:$F$16</definedName>
    <definedName name="data_channels" localSheetId="10">'Obs-OnART'!$E$8</definedName>
    <definedName name="data_channels" localSheetId="7">'Obs-Population'!$E$8</definedName>
    <definedName name="data_channels" localSheetId="9">'Obs-Prevalence'!$E$8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10">'Obs-OnART'!$A$4:$L$4</definedName>
    <definedName name="stratifiers" localSheetId="7">'Obs-Population'!$A$4:$L$4</definedName>
    <definedName name="stratifiers" localSheetId="9">'Obs-Prevalence'!$A$4:$L$4</definedName>
    <definedName name="use_existing_obs" localSheetId="0">General!$B$8</definedName>
    <definedName name="weights" localSheetId="5">Analyzers!$E$7:$E$16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435" i="12" l="1"/>
  <c r="Q436" i="12"/>
  <c r="Q437" i="12"/>
  <c r="Q438" i="12"/>
  <c r="Q439" i="12"/>
  <c r="Q440" i="12"/>
  <c r="Q441" i="12"/>
  <c r="Q442" i="12"/>
  <c r="Q443" i="12"/>
  <c r="Q444" i="12"/>
  <c r="Q445" i="12"/>
  <c r="Q446" i="12"/>
  <c r="Q447" i="12"/>
  <c r="Q448" i="12"/>
  <c r="Q449" i="12"/>
  <c r="Q450" i="12"/>
  <c r="Q453" i="12"/>
  <c r="Q454" i="12"/>
  <c r="Q455" i="12"/>
  <c r="Q456" i="12"/>
  <c r="Q457" i="12"/>
  <c r="Q458" i="12"/>
  <c r="Q459" i="12"/>
  <c r="Q460" i="12"/>
  <c r="Q461" i="12"/>
  <c r="Q462" i="12"/>
  <c r="Q463" i="12"/>
  <c r="Q464" i="12"/>
  <c r="Q465" i="12"/>
  <c r="Q466" i="12"/>
  <c r="Q467" i="12"/>
  <c r="Q468" i="12"/>
  <c r="Q469" i="12"/>
  <c r="Q472" i="12"/>
  <c r="Q473" i="12"/>
  <c r="Q474" i="12"/>
  <c r="Q475" i="12"/>
  <c r="Q476" i="12"/>
  <c r="Q477" i="12"/>
  <c r="Q478" i="12"/>
  <c r="Q479" i="12"/>
  <c r="Q480" i="12"/>
  <c r="Q481" i="12"/>
  <c r="Q482" i="12"/>
  <c r="Q483" i="12"/>
  <c r="Q484" i="12"/>
  <c r="Q485" i="12"/>
  <c r="Q486" i="12"/>
  <c r="Q487" i="12"/>
  <c r="Q488" i="12"/>
  <c r="Q491" i="12"/>
  <c r="Q492" i="12"/>
  <c r="Q493" i="12"/>
  <c r="Q494" i="12"/>
  <c r="Q495" i="12"/>
  <c r="Q496" i="12"/>
  <c r="Q497" i="12"/>
  <c r="Q498" i="12"/>
  <c r="Q499" i="12"/>
  <c r="Q500" i="12"/>
  <c r="Q501" i="12"/>
  <c r="Q502" i="12"/>
  <c r="Q503" i="12"/>
  <c r="Q504" i="12"/>
  <c r="Q505" i="12"/>
  <c r="Q506" i="12"/>
  <c r="Q507" i="12"/>
  <c r="Q510" i="12"/>
  <c r="Q511" i="12"/>
  <c r="Q512" i="12"/>
  <c r="Q513" i="12"/>
  <c r="Q514" i="12"/>
  <c r="Q515" i="12"/>
  <c r="Q516" i="12"/>
  <c r="Q517" i="12"/>
  <c r="Q518" i="12"/>
  <c r="Q519" i="12"/>
  <c r="Q520" i="12"/>
  <c r="Q521" i="12"/>
  <c r="Q522" i="12"/>
  <c r="Q523" i="12"/>
  <c r="Q524" i="12"/>
  <c r="Q525" i="12"/>
  <c r="Q526" i="12"/>
  <c r="Q529" i="12"/>
  <c r="Q530" i="12"/>
  <c r="Q531" i="12"/>
  <c r="Q532" i="12"/>
  <c r="Q533" i="12"/>
  <c r="Q534" i="12"/>
  <c r="Q535" i="12"/>
  <c r="Q536" i="12"/>
  <c r="Q537" i="12"/>
  <c r="Q538" i="12"/>
  <c r="Q539" i="12"/>
  <c r="Q540" i="12"/>
  <c r="Q541" i="12"/>
  <c r="Q542" i="12"/>
  <c r="Q543" i="12"/>
  <c r="Q544" i="12"/>
  <c r="Q545" i="12"/>
  <c r="Q548" i="12"/>
  <c r="Q549" i="12"/>
  <c r="Q550" i="12"/>
  <c r="Q551" i="12"/>
  <c r="Q552" i="12"/>
  <c r="Q553" i="12"/>
  <c r="Q554" i="12"/>
  <c r="Q555" i="12"/>
  <c r="Q556" i="12"/>
  <c r="Q557" i="12"/>
  <c r="Q558" i="12"/>
  <c r="Q559" i="12"/>
  <c r="Q560" i="12"/>
  <c r="Q561" i="12"/>
  <c r="Q562" i="12"/>
  <c r="Q563" i="12"/>
  <c r="Q564" i="12"/>
  <c r="Q567" i="12"/>
  <c r="Q568" i="12"/>
  <c r="Q569" i="12"/>
  <c r="Q570" i="12"/>
  <c r="Q571" i="12"/>
  <c r="Q572" i="12"/>
  <c r="Q573" i="12"/>
  <c r="Q574" i="12"/>
  <c r="Q575" i="12"/>
  <c r="Q576" i="12"/>
  <c r="Q577" i="12"/>
  <c r="Q578" i="12"/>
  <c r="Q579" i="12"/>
  <c r="Q580" i="12"/>
  <c r="Q581" i="12"/>
  <c r="Q582" i="12"/>
  <c r="Q583" i="12"/>
  <c r="Q586" i="12"/>
  <c r="Q587" i="12"/>
  <c r="Q588" i="12"/>
  <c r="Q589" i="12"/>
  <c r="Q590" i="12"/>
  <c r="Q591" i="12"/>
  <c r="Q592" i="12"/>
  <c r="Q593" i="12"/>
  <c r="Q594" i="12"/>
  <c r="Q595" i="12"/>
  <c r="Q596" i="12"/>
  <c r="Q597" i="12"/>
  <c r="Q598" i="12"/>
  <c r="Q599" i="12"/>
  <c r="Q600" i="12"/>
  <c r="Q601" i="12"/>
  <c r="Q602" i="12"/>
  <c r="Q604" i="12"/>
  <c r="Q605" i="12"/>
  <c r="Q606" i="12"/>
  <c r="Q607" i="12"/>
  <c r="Q608" i="12"/>
  <c r="Q609" i="12"/>
  <c r="Q610" i="12"/>
  <c r="Q611" i="12"/>
  <c r="Q612" i="12"/>
  <c r="Q613" i="12"/>
  <c r="Q614" i="12"/>
  <c r="Q615" i="12"/>
  <c r="Q616" i="12"/>
  <c r="Q617" i="12"/>
  <c r="Q618" i="12"/>
  <c r="Q619" i="12"/>
  <c r="Q620" i="12"/>
  <c r="Q623" i="12"/>
  <c r="Q624" i="12"/>
  <c r="Q625" i="12"/>
  <c r="Q626" i="12"/>
  <c r="Q627" i="12"/>
  <c r="Q628" i="12"/>
  <c r="Q629" i="12"/>
  <c r="Q630" i="12"/>
  <c r="Q631" i="12"/>
  <c r="Q632" i="12"/>
  <c r="Q633" i="12"/>
  <c r="Q634" i="12"/>
  <c r="Q635" i="12"/>
  <c r="Q636" i="12"/>
  <c r="Q637" i="12"/>
  <c r="Q638" i="12"/>
  <c r="Q639" i="12"/>
  <c r="Q642" i="12"/>
  <c r="Q643" i="12"/>
  <c r="Q644" i="12"/>
  <c r="Q645" i="12"/>
  <c r="Q646" i="12"/>
  <c r="Q647" i="12"/>
  <c r="Q648" i="12"/>
  <c r="Q649" i="12"/>
  <c r="Q650" i="12"/>
  <c r="Q651" i="12"/>
  <c r="Q652" i="12"/>
  <c r="Q653" i="12"/>
  <c r="Q654" i="12"/>
  <c r="Q655" i="12"/>
  <c r="Q656" i="12"/>
  <c r="Q657" i="12"/>
  <c r="Q658" i="12"/>
  <c r="Q661" i="12"/>
  <c r="Q662" i="12"/>
  <c r="Q663" i="12"/>
  <c r="Q664" i="12"/>
  <c r="Q665" i="12"/>
  <c r="Q666" i="12"/>
  <c r="Q667" i="12"/>
  <c r="Q668" i="12"/>
  <c r="Q669" i="12"/>
  <c r="Q670" i="12"/>
  <c r="Q671" i="12"/>
  <c r="Q672" i="12"/>
  <c r="Q673" i="12"/>
  <c r="Q674" i="12"/>
  <c r="Q675" i="12"/>
  <c r="Q676" i="12"/>
  <c r="Q677" i="12"/>
  <c r="Q680" i="12"/>
  <c r="Q681" i="12"/>
  <c r="Q682" i="12"/>
  <c r="Q683" i="12"/>
  <c r="Q684" i="12"/>
  <c r="Q685" i="12"/>
  <c r="Q686" i="12"/>
  <c r="Q687" i="12"/>
  <c r="Q688" i="12"/>
  <c r="Q689" i="12"/>
  <c r="Q690" i="12"/>
  <c r="Q691" i="12"/>
  <c r="Q692" i="12"/>
  <c r="Q693" i="12"/>
  <c r="Q694" i="12"/>
  <c r="Q695" i="12"/>
  <c r="Q696" i="12"/>
  <c r="Q699" i="12"/>
  <c r="Q700" i="12"/>
  <c r="Q701" i="12"/>
  <c r="Q702" i="12"/>
  <c r="Q703" i="12"/>
  <c r="Q704" i="12"/>
  <c r="Q705" i="12"/>
  <c r="Q706" i="12"/>
  <c r="Q707" i="12"/>
  <c r="Q708" i="12"/>
  <c r="Q709" i="12"/>
  <c r="Q710" i="12"/>
  <c r="Q711" i="12"/>
  <c r="Q712" i="12"/>
  <c r="Q713" i="12"/>
  <c r="Q714" i="12"/>
  <c r="Q715" i="12"/>
  <c r="Q718" i="12"/>
  <c r="Q719" i="12"/>
  <c r="Q720" i="12"/>
  <c r="Q721" i="12"/>
  <c r="Q722" i="12"/>
  <c r="Q723" i="12"/>
  <c r="Q724" i="12"/>
  <c r="Q725" i="12"/>
  <c r="Q726" i="12"/>
  <c r="Q727" i="12"/>
  <c r="Q728" i="12"/>
  <c r="Q729" i="12"/>
  <c r="Q730" i="12"/>
  <c r="Q731" i="12"/>
  <c r="Q732" i="12"/>
  <c r="Q733" i="12"/>
  <c r="Q734" i="12"/>
  <c r="Q737" i="12"/>
  <c r="Q738" i="12"/>
  <c r="Q739" i="12"/>
  <c r="Q740" i="12"/>
  <c r="Q741" i="12"/>
  <c r="Q742" i="12"/>
  <c r="Q743" i="12"/>
  <c r="Q744" i="12"/>
  <c r="Q745" i="12"/>
  <c r="Q746" i="12"/>
  <c r="Q747" i="12"/>
  <c r="Q748" i="12"/>
  <c r="Q749" i="12"/>
  <c r="Q750" i="12"/>
  <c r="Q751" i="12"/>
  <c r="Q752" i="12"/>
  <c r="Q753" i="12"/>
  <c r="Q756" i="12"/>
  <c r="Q757" i="12"/>
  <c r="Q758" i="12"/>
  <c r="Q759" i="12"/>
  <c r="Q760" i="12"/>
  <c r="Q761" i="12"/>
  <c r="Q762" i="12"/>
  <c r="Q763" i="12"/>
  <c r="Q764" i="12"/>
  <c r="Q765" i="12"/>
  <c r="Q766" i="12"/>
  <c r="Q767" i="12"/>
  <c r="Q768" i="12"/>
  <c r="Q769" i="12"/>
  <c r="Q770" i="12"/>
  <c r="Q771" i="12"/>
  <c r="Q772" i="12"/>
  <c r="Q775" i="12"/>
  <c r="Q776" i="12"/>
  <c r="Q777" i="12"/>
  <c r="Q778" i="12"/>
  <c r="Q779" i="12"/>
  <c r="Q780" i="12"/>
  <c r="Q781" i="12"/>
  <c r="Q782" i="12"/>
  <c r="Q783" i="12"/>
  <c r="Q784" i="12"/>
  <c r="Q785" i="12"/>
  <c r="Q786" i="12"/>
  <c r="Q787" i="12"/>
  <c r="Q788" i="12"/>
  <c r="Q789" i="12"/>
  <c r="Q790" i="12"/>
  <c r="Q791" i="12"/>
  <c r="Q434" i="12"/>
  <c r="Q416" i="12"/>
  <c r="Q417" i="12"/>
  <c r="Q418" i="12"/>
  <c r="Q419" i="12"/>
  <c r="Q420" i="12"/>
  <c r="Q421" i="12"/>
  <c r="Q422" i="12"/>
  <c r="Q423" i="12"/>
  <c r="Q424" i="12"/>
  <c r="Q425" i="12"/>
  <c r="Q426" i="12"/>
  <c r="Q427" i="12"/>
  <c r="Q428" i="12"/>
  <c r="Q429" i="12"/>
  <c r="Q430" i="12"/>
  <c r="Q431" i="12"/>
  <c r="Q415" i="12"/>
  <c r="P28" i="12"/>
  <c r="P29" i="12"/>
  <c r="P30" i="12"/>
  <c r="P31" i="12"/>
  <c r="P32" i="12"/>
  <c r="P33" i="12"/>
  <c r="P34" i="12"/>
  <c r="P35" i="12"/>
  <c r="P36" i="12"/>
  <c r="P37" i="12"/>
  <c r="P38" i="12"/>
  <c r="P39" i="12"/>
  <c r="P40" i="12"/>
  <c r="P41" i="12"/>
  <c r="P42" i="12"/>
  <c r="P43" i="12"/>
  <c r="P44" i="12"/>
  <c r="P45" i="12"/>
  <c r="P46" i="12"/>
  <c r="P47" i="12"/>
  <c r="P48" i="12"/>
  <c r="P49" i="12"/>
  <c r="P50" i="12"/>
  <c r="P51" i="12"/>
  <c r="P52" i="12"/>
  <c r="P53" i="12"/>
  <c r="P54" i="12"/>
  <c r="P55" i="12"/>
  <c r="P56" i="12"/>
  <c r="P57" i="12"/>
  <c r="P58" i="12"/>
  <c r="P59" i="12"/>
  <c r="P60" i="12"/>
  <c r="P61" i="12"/>
  <c r="P62" i="12"/>
  <c r="P63" i="12"/>
  <c r="P64" i="12"/>
  <c r="P65" i="12"/>
  <c r="P66" i="12"/>
  <c r="P67" i="12"/>
  <c r="P68" i="12"/>
  <c r="P69" i="12"/>
  <c r="P70" i="12"/>
  <c r="P71" i="12"/>
  <c r="P72" i="12"/>
  <c r="P73" i="12"/>
  <c r="P74" i="12"/>
  <c r="P75" i="12"/>
  <c r="P76" i="12"/>
  <c r="P77" i="12"/>
  <c r="P78" i="12"/>
  <c r="P79" i="12"/>
  <c r="P80" i="12"/>
  <c r="P81" i="12"/>
  <c r="P82" i="12"/>
  <c r="P83" i="12"/>
  <c r="P84" i="12"/>
  <c r="P85" i="12"/>
  <c r="P86" i="12"/>
  <c r="P87" i="12"/>
  <c r="P88" i="12"/>
  <c r="P89" i="12"/>
  <c r="P90" i="12"/>
  <c r="P91" i="12"/>
  <c r="P92" i="12"/>
  <c r="P93" i="12"/>
  <c r="P94" i="12"/>
  <c r="P95" i="12"/>
  <c r="P96" i="12"/>
  <c r="P97" i="12"/>
  <c r="P98" i="12"/>
  <c r="P99" i="12"/>
  <c r="P100" i="12"/>
  <c r="P101" i="12"/>
  <c r="P102" i="12"/>
  <c r="P103" i="12"/>
  <c r="P104" i="12"/>
  <c r="P105" i="12"/>
  <c r="P106" i="12"/>
  <c r="P107" i="12"/>
  <c r="P108" i="12"/>
  <c r="P109" i="12"/>
  <c r="P110" i="12"/>
  <c r="P111" i="12"/>
  <c r="P112" i="12"/>
  <c r="P113" i="12"/>
  <c r="P114" i="12"/>
  <c r="P115" i="12"/>
  <c r="P116" i="12"/>
  <c r="P117" i="12"/>
  <c r="P118" i="12"/>
  <c r="P119" i="12"/>
  <c r="P120" i="12"/>
  <c r="P121" i="12"/>
  <c r="P122" i="12"/>
  <c r="P123" i="12"/>
  <c r="P124" i="12"/>
  <c r="P125" i="12"/>
  <c r="P126" i="12"/>
  <c r="P127" i="12"/>
  <c r="P128" i="12"/>
  <c r="P129" i="12"/>
  <c r="P130" i="12"/>
  <c r="P131" i="12"/>
  <c r="P132" i="12"/>
  <c r="P133" i="12"/>
  <c r="P134" i="12"/>
  <c r="P135" i="12"/>
  <c r="P136" i="12"/>
  <c r="P137" i="12"/>
  <c r="P138" i="12"/>
  <c r="P139" i="12"/>
  <c r="P140" i="12"/>
  <c r="P141" i="12"/>
  <c r="P142" i="12"/>
  <c r="P143" i="12"/>
  <c r="P144" i="12"/>
  <c r="P145" i="12"/>
  <c r="P146" i="12"/>
  <c r="P147" i="12"/>
  <c r="P148" i="12"/>
  <c r="P149" i="12"/>
  <c r="P150" i="12"/>
  <c r="P151" i="12"/>
  <c r="P152" i="12"/>
  <c r="P153" i="12"/>
  <c r="P154" i="12"/>
  <c r="P155" i="12"/>
  <c r="P156" i="12"/>
  <c r="P157" i="12"/>
  <c r="P158" i="12"/>
  <c r="P159" i="12"/>
  <c r="P160" i="12"/>
  <c r="P161" i="12"/>
  <c r="P162" i="12"/>
  <c r="P163" i="12"/>
  <c r="P164" i="12"/>
  <c r="P165" i="12"/>
  <c r="P166" i="12"/>
  <c r="P167" i="12"/>
  <c r="P168" i="12"/>
  <c r="P169" i="12"/>
  <c r="P170" i="12"/>
  <c r="P171" i="12"/>
  <c r="P172" i="12"/>
  <c r="P173" i="12"/>
  <c r="P174" i="12"/>
  <c r="P175" i="12"/>
  <c r="P176" i="12"/>
  <c r="P177" i="12"/>
  <c r="P178" i="12"/>
  <c r="P179" i="12"/>
  <c r="P180" i="12"/>
  <c r="P181" i="12"/>
  <c r="P182" i="12"/>
  <c r="P183" i="12"/>
  <c r="P184" i="12"/>
  <c r="P185" i="12"/>
  <c r="P186" i="12"/>
  <c r="P187" i="12"/>
  <c r="P188" i="12"/>
  <c r="P189" i="12"/>
  <c r="P190" i="12"/>
  <c r="P191" i="12"/>
  <c r="P192" i="12"/>
  <c r="P193" i="12"/>
  <c r="P194" i="12"/>
  <c r="P195" i="12"/>
  <c r="P196" i="12"/>
  <c r="P197" i="12"/>
  <c r="P198" i="12"/>
  <c r="P199" i="12"/>
  <c r="P200" i="12"/>
  <c r="P201" i="12"/>
  <c r="P202" i="12"/>
  <c r="P203" i="12"/>
  <c r="P204" i="12"/>
  <c r="P205" i="12"/>
  <c r="P206" i="12"/>
  <c r="P207" i="12"/>
  <c r="P208" i="12"/>
  <c r="P209" i="12"/>
  <c r="P210" i="12"/>
  <c r="P211" i="12"/>
  <c r="P212" i="12"/>
  <c r="P213" i="12"/>
  <c r="P214" i="12"/>
  <c r="P215" i="12"/>
  <c r="P216" i="12"/>
  <c r="P217" i="12"/>
  <c r="P218" i="12"/>
  <c r="P219" i="12"/>
  <c r="P220" i="12"/>
  <c r="P221" i="12"/>
  <c r="P222" i="12"/>
  <c r="P223" i="12"/>
  <c r="P224" i="12"/>
  <c r="P225" i="12"/>
  <c r="P226" i="12"/>
  <c r="P227" i="12"/>
  <c r="P228" i="12"/>
  <c r="P229" i="12"/>
  <c r="P230" i="12"/>
  <c r="P231" i="12"/>
  <c r="P232" i="12"/>
  <c r="P233" i="12"/>
  <c r="P234" i="12"/>
  <c r="P235" i="12"/>
  <c r="P236" i="12"/>
  <c r="P237" i="12"/>
  <c r="P238" i="12"/>
  <c r="P239" i="12"/>
  <c r="P240" i="12"/>
  <c r="P241" i="12"/>
  <c r="P242" i="12"/>
  <c r="P243" i="12"/>
  <c r="P244" i="12"/>
  <c r="P245" i="12"/>
  <c r="P246" i="12"/>
  <c r="P247" i="12"/>
  <c r="P248" i="12"/>
  <c r="P249" i="12"/>
  <c r="P250" i="12"/>
  <c r="P251" i="12"/>
  <c r="P252" i="12"/>
  <c r="P253" i="12"/>
  <c r="P254" i="12"/>
  <c r="P255" i="12"/>
  <c r="P256" i="12"/>
  <c r="P257" i="12"/>
  <c r="P258" i="12"/>
  <c r="P259" i="12"/>
  <c r="P260" i="12"/>
  <c r="P261" i="12"/>
  <c r="P262" i="12"/>
  <c r="P263" i="12"/>
  <c r="P264" i="12"/>
  <c r="P265" i="12"/>
  <c r="P266" i="12"/>
  <c r="P267" i="12"/>
  <c r="P268" i="12"/>
  <c r="P269" i="12"/>
  <c r="P270" i="12"/>
  <c r="P271" i="12"/>
  <c r="P272" i="12"/>
  <c r="P273" i="12"/>
  <c r="P274" i="12"/>
  <c r="P275" i="12"/>
  <c r="P276" i="12"/>
  <c r="P277" i="12"/>
  <c r="P278" i="12"/>
  <c r="P279" i="12"/>
  <c r="P280" i="12"/>
  <c r="P281" i="12"/>
  <c r="P282" i="12"/>
  <c r="P283" i="12"/>
  <c r="P284" i="12"/>
  <c r="P285" i="12"/>
  <c r="P286" i="12"/>
  <c r="P287" i="12"/>
  <c r="P288" i="12"/>
  <c r="P289" i="12"/>
  <c r="P290" i="12"/>
  <c r="P291" i="12"/>
  <c r="P292" i="12"/>
  <c r="P293" i="12"/>
  <c r="P294" i="12"/>
  <c r="P295" i="12"/>
  <c r="P296" i="12"/>
  <c r="P297" i="12"/>
  <c r="P298" i="12"/>
  <c r="P299" i="12"/>
  <c r="P300" i="12"/>
  <c r="P301" i="12"/>
  <c r="P302" i="12"/>
  <c r="P303" i="12"/>
  <c r="P304" i="12"/>
  <c r="P305" i="12"/>
  <c r="P306" i="12"/>
  <c r="P307" i="12"/>
  <c r="P308" i="12"/>
  <c r="P309" i="12"/>
  <c r="P310" i="12"/>
  <c r="P311" i="12"/>
  <c r="P312" i="12"/>
  <c r="P313" i="12"/>
  <c r="P314" i="12"/>
  <c r="P315" i="12"/>
  <c r="P316" i="12"/>
  <c r="P317" i="12"/>
  <c r="P318" i="12"/>
  <c r="P319" i="12"/>
  <c r="P320" i="12"/>
  <c r="P321" i="12"/>
  <c r="P322" i="12"/>
  <c r="P323" i="12"/>
  <c r="P324" i="12"/>
  <c r="P325" i="12"/>
  <c r="P326" i="12"/>
  <c r="P327" i="12"/>
  <c r="P328" i="12"/>
  <c r="P329" i="12"/>
  <c r="P330" i="12"/>
  <c r="P331" i="12"/>
  <c r="P332" i="12"/>
  <c r="P333" i="12"/>
  <c r="P334" i="12"/>
  <c r="P335" i="12"/>
  <c r="P336" i="12"/>
  <c r="P337" i="12"/>
  <c r="P338" i="12"/>
  <c r="P339" i="12"/>
  <c r="P340" i="12"/>
  <c r="P341" i="12"/>
  <c r="P342" i="12"/>
  <c r="P343" i="12"/>
  <c r="P344" i="12"/>
  <c r="P345" i="12"/>
  <c r="P346" i="12"/>
  <c r="P347" i="12"/>
  <c r="P348" i="12"/>
  <c r="P349" i="12"/>
  <c r="P350" i="12"/>
  <c r="P351" i="12"/>
  <c r="P352" i="12"/>
  <c r="P353" i="12"/>
  <c r="P354" i="12"/>
  <c r="P355" i="12"/>
  <c r="P356" i="12"/>
  <c r="P357" i="12"/>
  <c r="P358" i="12"/>
  <c r="P359" i="12"/>
  <c r="P360" i="12"/>
  <c r="P361" i="12"/>
  <c r="P362" i="12"/>
  <c r="P363" i="12"/>
  <c r="P364" i="12"/>
  <c r="P365" i="12"/>
  <c r="P366" i="12"/>
  <c r="P367" i="12"/>
  <c r="P368" i="12"/>
  <c r="P369" i="12"/>
  <c r="P370" i="12"/>
  <c r="P371" i="12"/>
  <c r="P372" i="12"/>
  <c r="P373" i="12"/>
  <c r="P374" i="12"/>
  <c r="P375" i="12"/>
  <c r="P376" i="12"/>
  <c r="P377" i="12"/>
  <c r="P378" i="12"/>
  <c r="P379" i="12"/>
  <c r="P380" i="12"/>
  <c r="P381" i="12"/>
  <c r="P382" i="12"/>
  <c r="P383" i="12"/>
  <c r="P384" i="12"/>
  <c r="P385" i="12"/>
  <c r="P386" i="12"/>
  <c r="P387" i="12"/>
  <c r="P388" i="12"/>
  <c r="P389" i="12"/>
  <c r="P390" i="12"/>
  <c r="P391" i="12"/>
  <c r="P392" i="12"/>
  <c r="P393" i="12"/>
  <c r="P394" i="12"/>
  <c r="P395" i="12"/>
  <c r="P396" i="12"/>
  <c r="P397" i="12"/>
  <c r="P398" i="12"/>
  <c r="P399" i="12"/>
  <c r="P400" i="12"/>
  <c r="P401" i="12"/>
  <c r="P402" i="12"/>
  <c r="P403" i="12"/>
  <c r="P404" i="12"/>
  <c r="P405" i="12"/>
  <c r="P406" i="12"/>
  <c r="P407" i="12"/>
  <c r="P1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3" i="12"/>
  <c r="P24" i="12"/>
  <c r="P25" i="12"/>
  <c r="P26" i="12"/>
  <c r="P27" i="12"/>
  <c r="P9" i="12"/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<sst xmlns="http://schemas.openxmlformats.org/spreadsheetml/2006/main" count="6150" uniqueCount="299">
  <si>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</si>
  <si>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</si>
  <si>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</si>
  <si>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</si>
  <si>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</si>
  <si>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</si>
  <si>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</si>
  <si>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</si>
  <si>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</si>
  <si>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</si>
  <si>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</si>
  <si>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</si>
  <si>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</si>
  <si>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</si>
  <si>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</si>
  <si>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</si>
  <si>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</si>
  <si>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</si>
  <si>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</si>
  <si>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</si>
  <si>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</si>
  <si>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</si>
  <si>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</si>
  <si>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</si>
  <si>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</si>
  <si>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</si>
  <si>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</si>
  <si>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</si>
  <si>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</si>
  <si>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</si>
  <si>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</si>
  <si>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</si>
  <si>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</si>
  <si>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</si>
  <si>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</si>
  <si>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</si>
  <si>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</si>
  <si>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</si>
  <si>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</si>
  <si>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</si>
  <si>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</si>
  <si>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</si>
  <si>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</si>
  <si>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</si>
  <si>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</si>
  <si>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</si>
  <si>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</si>
  <si>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</si>
  <si>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</si>
  <si>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</si>
  <si>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</si>
  <si>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</si>
  <si>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</si>
  <si>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</si>
  <si>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</si>
  <si>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</si>
  <si>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</si>
  <si>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</si>
  <si>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</si>
  <si>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</si>
  <si>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</si>
  <si>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</si>
  <si>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</si>
  <si>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</si>
  <si>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</si>
  <si>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</si>
  <si>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</si>
  <si>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</si>
  <si>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</si>
  <si>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</si>
  <si>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</si>
  <si>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</si>
  <si>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</si>
  <si>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</si>
  <si>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</si>
  <si>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</si>
  <si>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</si>
  <si>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</si>
  <si>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</si>
  <si>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</si>
  <si>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</si>
  <si>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</si>
  <si>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</si>
  <si>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</si>
  <si>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</si>
  <si>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</si>
  <si>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</si>
  <si>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</si>
  <si>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</si>
  <si>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</si>
  <si>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</si>
  <si>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</si>
  <si>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</si>
  <si>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</si>
  <si>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</si>
  <si>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</si>
  <si>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</si>
  <si>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</si>
  <si>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</si>
  <si>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</si>
  <si>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Zambia</t>
  </si>
  <si>
    <t>[0:100)</t>
  </si>
  <si>
    <t>Central</t>
  </si>
  <si>
    <t>Copperbelt</t>
  </si>
  <si>
    <t>Eastern</t>
  </si>
  <si>
    <t>Luapula</t>
  </si>
  <si>
    <t>Lusaka</t>
  </si>
  <si>
    <t>Muchinga</t>
  </si>
  <si>
    <t>Northwestern</t>
  </si>
  <si>
    <t>Northern</t>
  </si>
  <si>
    <t>Southern</t>
  </si>
  <si>
    <t>Western</t>
  </si>
  <si>
    <t>SeedYr HIGH</t>
  </si>
  <si>
    <t>Start_Year__KP_Seeding_Year</t>
  </si>
  <si>
    <t>Base Infectivity</t>
  </si>
  <si>
    <t>Base_Infectivity</t>
  </si>
  <si>
    <t>Circumcision Reduced Acquire</t>
  </si>
  <si>
    <t>Circumcision_Reduced_Acquire</t>
  </si>
  <si>
    <t>Sexual Debut Age Female Weibull Scale</t>
  </si>
  <si>
    <t>Sexual_Debut_Age_Female_Weibull_Scale</t>
  </si>
  <si>
    <t>Sexual Debut Age Female Weibull Heterogeneity</t>
  </si>
  <si>
    <t>Sexual_Debut_Age_Female_Weibull_Heterogeneity</t>
  </si>
  <si>
    <t>Sexual Debut Age Male Weibull Scale</t>
  </si>
  <si>
    <t>Sexual_Debut_Age_Male_Weibull_Scale</t>
  </si>
  <si>
    <t>Sexual Debut Age Male Weibull Heterogeneity</t>
  </si>
  <si>
    <t>Sexual_Debut_Age_Male_Weibull_Heterogeneity</t>
  </si>
  <si>
    <t>Trns Form Rate</t>
  </si>
  <si>
    <t>Society__KP_Defaults.TRANSITORY.Pair_Formation_Parameters.Formation_Rate_Constant</t>
  </si>
  <si>
    <t>Infmrl Form Rate</t>
  </si>
  <si>
    <t>Society__KP_Defaults.INFORMAL.Pair_Formation_Parameters.Formation_Rate_Constant</t>
  </si>
  <si>
    <t>Mrtl Form Rate</t>
  </si>
  <si>
    <t>Society__KP_Defaults.MARITAL.Pair_Formation_Parameters.Formation_Rate_Constant</t>
  </si>
  <si>
    <t>Male To Female Young</t>
  </si>
  <si>
    <t>Male To Female Old</t>
  </si>
  <si>
    <t>Trns Condom Mid</t>
  </si>
  <si>
    <t>Society__KP_Defaults.TRANSITORY.Relationship_Parameters.Condom_Usage_Probability.Mid</t>
  </si>
  <si>
    <t>Trns Condom Rate</t>
  </si>
  <si>
    <t>Society__KP_Defaults.TRANSITORY.Relationship_Parameters.Condom_Usage_Probability.Rate</t>
  </si>
  <si>
    <t xml:space="preserve"> </t>
  </si>
  <si>
    <t>Trns Condom Late</t>
  </si>
  <si>
    <t>Society__KP_Defaults.TRANSITORY.Relationship_Parameters.Condom_Usage_Probability.Max</t>
  </si>
  <si>
    <t>Infrml Condom Mid</t>
  </si>
  <si>
    <t>Society__KP_Defaults.INFORMAL.Relationship_Parameters.Condom_Usage_Probability.Mid</t>
  </si>
  <si>
    <t>Infrml Condom Rate</t>
  </si>
  <si>
    <t>Society__KP_Defaults.INFORMAL.Relationship_Parameters.Condom_Usage_Probability.Rate</t>
  </si>
  <si>
    <t>Infmrl Condoms Late</t>
  </si>
  <si>
    <t>Society__KP_Defaults.INFORMAL.Relationship_Parameters.Condom_Usage_Probability.Max</t>
  </si>
  <si>
    <t>Mrtl Condom Mid</t>
  </si>
  <si>
    <t>Society__KP_Defaults.MARITAL.Relationship_Parameters.Condom_Usage_Probability.Mid</t>
  </si>
  <si>
    <t>Mrtl Condom Rate</t>
  </si>
  <si>
    <t>Society__KP_Defaults.MARITAL.Relationship_Parameters.Condom_Usage_Probability.Rate</t>
  </si>
  <si>
    <t>Mrtl Condom Max</t>
  </si>
  <si>
    <t>Society__KP_Defaults.MARITAL.Relationship_Parameters.Condom_Usage_Probability.Max</t>
  </si>
  <si>
    <t>Risk Assortivity</t>
  </si>
  <si>
    <t>Pr Ex Trns Male LOW</t>
  </si>
  <si>
    <t>Society__KP_Defaults_All_Nodes.TRANSITORY.Concurrency_Parameters.LOW.Prob_Extra_Relationship_Male</t>
  </si>
  <si>
    <t>Pr Ex Trns Male MED</t>
  </si>
  <si>
    <t>Society__KP_Defaults_All_Nodes.TRANSITORY.Concurrency_Parameters.MEDIUM.Prob_Extra_Relationship_Male</t>
  </si>
  <si>
    <t>Pr Ex Trns Fem LOW</t>
  </si>
  <si>
    <t>Society__KP_Defaults_All_Nodes.TRANSITORY.Concurrency_Parameters.LOW.Prob_Extra_Relationship_Female</t>
  </si>
  <si>
    <t>Pr Ex Trns Fem MED</t>
  </si>
  <si>
    <t>Society__KP_Defaults_All_Nodes.TRANSITORY.Concurrency_Parameters.MEDIUM.Prob_Extra_Relationship_Female</t>
  </si>
  <si>
    <t>Pr Ex Infmrl Male LOW</t>
  </si>
  <si>
    <t>Society__KP_Defaults_All_Nodes.INFORMAL.Concurrency_Parameters.LOW.Prob_Extra_Relationship_Male</t>
  </si>
  <si>
    <t>Pr Ex Infmrl Fem LOW</t>
  </si>
  <si>
    <t>Max Trns M LOW</t>
  </si>
  <si>
    <t>Society__KP_Defaults_All_Nodes.TRANSITORY.Concurrency_Parameters.LOW.Max_Simultaneous_Relationships_Male</t>
  </si>
  <si>
    <t>Max Trns F LOW</t>
  </si>
  <si>
    <t>Society__KP_Defaults_All_Nodes.TRANSITORY.Concurrency_Parameters.LOW.Max_Simultaneous_Relationships_Female</t>
  </si>
  <si>
    <t>Max Infmrl M LOW</t>
  </si>
  <si>
    <t>Society__KP_Defaults_All_Nodes.INFORMAL.Concurrency_Parameters.LOW.Max_Simultaneous_Relationships_Male</t>
  </si>
  <si>
    <t>Max Infmrl F LOW</t>
  </si>
  <si>
    <t>Society__KP_Defaults_All_Nodes.INFORMAL.Concurrency_Parameters.LOW.Max_Simultaneous_Relationships_Female</t>
  </si>
  <si>
    <t>Pr Ex Infmrl Male MED</t>
  </si>
  <si>
    <t>Society__KP_Defaults_All_Nodes.INFORMAL.Concurrency_Parameters.MEDIUM.Prob_Extra_Relationship_Male</t>
  </si>
  <si>
    <t>Pr Ex Infmrl Fem MED</t>
  </si>
  <si>
    <t>Society__KP_Defaults_All_Nodes.INFORMAL.Concurrency_Parameters.MEDIUM.Prob_Extra_Relationship_Female</t>
  </si>
  <si>
    <t>Max Trns M MED</t>
  </si>
  <si>
    <t>Society__KP_Defaults_All_Nodes.TRANSITORY.Concurrency_Parameters.MEDIUM.Max_Simultaneous_Relationships_Male</t>
  </si>
  <si>
    <t>Max Trns F MED</t>
  </si>
  <si>
    <t>Society__KP_Defaults_All_Nodes.TRANSITORY.Concurrency_Parameters.MEDIUM.Max_Simultaneous_Relationships_Female</t>
  </si>
  <si>
    <t>Max Infmrl M MED</t>
  </si>
  <si>
    <t>Society__KP_Defaults_All_Nodes.INFORMAL.Concurrency_Parameters.MEDIUM.Max_Simultaneous_Relationships_Male</t>
  </si>
  <si>
    <t>Max Infmrl F MED</t>
  </si>
  <si>
    <t>Society__KP_Defaults_All_Nodes.INFORMAL.Concurrency_Parameters.MEDIUM.Max_Simultaneous_Relationships_Female</t>
  </si>
  <si>
    <t>Max Mrtl M ME</t>
  </si>
  <si>
    <t>Society__KP_Defaults_All_Nodes.MARITAL.Concurrency_Parameters.MEDIUM.Max_Simultaneous_Relationships_Male</t>
  </si>
  <si>
    <t>Max Mrtl F ME</t>
  </si>
  <si>
    <t>Society__KP_Defaults_All_Nodes.MARITAL.Concurrency_Parameters.MEDIUM.Max_Simultaneous_Relationships_Female</t>
  </si>
  <si>
    <t>Infrml Dur Het</t>
  </si>
  <si>
    <t>Society__KP_Defaults.INFORMAL.Relationship_Parameters.Duration_Weibull_Heterogeneity</t>
  </si>
  <si>
    <t>Central: Trns Condoms Late</t>
  </si>
  <si>
    <t>Society__KP_Central.TRANSITORY.Relationship_Parameters.Condom_Usage_Probability.Max</t>
  </si>
  <si>
    <t>Central: Infmrl Condoms Late</t>
  </si>
  <si>
    <t>Society__KP_Central.INFORMAL.Relationship_Parameters.Condom_Usage_Probability.Max</t>
  </si>
  <si>
    <t>Central: LOW Risk</t>
  </si>
  <si>
    <t>Copperbelt: Trns Condoms Late</t>
  </si>
  <si>
    <t>Society__KP_Copperbelt.TRANSITORY.Relationship_Parameters.Condom_Usage_Probability.Max</t>
  </si>
  <si>
    <t>Copperbelt: Infmrl Condoms Late</t>
  </si>
  <si>
    <t>Society__KP_Copperbelt.INFORMAL.Relationship_Parameters.Condom_Usage_Probability.Max</t>
  </si>
  <si>
    <t>Copperbelt: LOW Risk</t>
  </si>
  <si>
    <t>Eastern: Trns Condoms Late</t>
  </si>
  <si>
    <t>Society__KP_Eastern.TRANSITORY.Relationship_Parameters.Condom_Usage_Probability.Max</t>
  </si>
  <si>
    <t>Eastern: Infmrl Condoms Late</t>
  </si>
  <si>
    <t>Society__KP_Eastern.INFORMAL.Relationship_Parameters.Condom_Usage_Probability.Max</t>
  </si>
  <si>
    <t>Eastern: LOW Risk</t>
  </si>
  <si>
    <t>Luapula: Trns Condoms Late</t>
  </si>
  <si>
    <t>Society__KP_Luapula.TRANSITORY.Relationship_Parameters.Condom_Usage_Probability.Max</t>
  </si>
  <si>
    <t>Luapula: Infmrl Condoms Late</t>
  </si>
  <si>
    <t>Society__KP_Luapula.INFORMAL.Relationship_Parameters.Condom_Usage_Probability.Max</t>
  </si>
  <si>
    <t>Luapula: LOW Risk</t>
  </si>
  <si>
    <t>Lusaka: Trns Condoms Late</t>
  </si>
  <si>
    <t>Society__KP_Lusaka.TRANSITORY.Relationship_Parameters.Condom_Usage_Probability.Max</t>
  </si>
  <si>
    <t>Lusaka: Infmrl Condoms Late</t>
  </si>
  <si>
    <t>Society__KP_Lusaka.INFORMAL.Relationship_Parameters.Condom_Usage_Probability.Max</t>
  </si>
  <si>
    <t>Lusaka: LOW Risk</t>
  </si>
  <si>
    <t>Muchinga: Trns Condoms Late</t>
  </si>
  <si>
    <t>Society__KP_Muchinga.TRANSITORY.Relationship_Parameters.Condom_Usage_Probability.Max</t>
  </si>
  <si>
    <t>Muchinga: Infmrl Condoms Late</t>
  </si>
  <si>
    <t>Society__KP_Muchinga.INFORMAL.Relationship_Parameters.Condom_Usage_Probability.Max</t>
  </si>
  <si>
    <t>Muchinga: LOW Risk</t>
  </si>
  <si>
    <t>Northern: Trns Condoms Late</t>
  </si>
  <si>
    <t>Society__KP_Northern.TRANSITORY.Relationship_Parameters.Condom_Usage_Probability.Max</t>
  </si>
  <si>
    <t>Northern: Infmrl Condoms Late</t>
  </si>
  <si>
    <t>Society__KP_Northern.INFORMAL.Relationship_Parameters.Condom_Usage_Probability.Max</t>
  </si>
  <si>
    <t>Northern: LOW Risk</t>
  </si>
  <si>
    <t>Northwestern: Trns Condoms Late</t>
  </si>
  <si>
    <t>Society__KP_Northwestern.TRANSITORY.Relationship_Parameters.Condom_Usage_Probability.Max</t>
  </si>
  <si>
    <t>Northwestern: Infmrl Condoms Late</t>
  </si>
  <si>
    <t>Society__KP_Northwestern.INFORMAL.Relationship_Parameters.Condom_Usage_Probability.Max</t>
  </si>
  <si>
    <t>Northwestern: LOW Risk</t>
  </si>
  <si>
    <t>Southern: Trns Condoms Late</t>
  </si>
  <si>
    <t>Society__KP_Southern.TRANSITORY.Relationship_Parameters.Condom_Usage_Probability.Max</t>
  </si>
  <si>
    <t>Southern: Infmrl Condoms Late</t>
  </si>
  <si>
    <t>Society__KP_Southern.INFORMAL.Relationship_Parameters.Condom_Usage_Probability.Max</t>
  </si>
  <si>
    <t>Southern: LOW Risk</t>
  </si>
  <si>
    <t>Western: Trns Condoms Late</t>
  </si>
  <si>
    <t>Society__KP_Western.TRANSITORY.Relationship_Parameters.Condom_Usage_Probability.Max</t>
  </si>
  <si>
    <t>Western: Infmrl Condoms Late</t>
  </si>
  <si>
    <t>Society__KP_Western.INFORMAL.Relationship_Parameters.Condom_Usage_Probability.Max</t>
  </si>
  <si>
    <t>Western: LOW Risk</t>
  </si>
  <si>
    <t>PreART Link Min</t>
  </si>
  <si>
    <t>PreART Link Max</t>
  </si>
  <si>
    <t>PreART Link Mid</t>
  </si>
  <si>
    <t>Actual_IndividualIntervention_Config__KP_PreART_Link.Ramp_MidYear</t>
  </si>
  <si>
    <t>ART Link Max</t>
  </si>
  <si>
    <t>Actual_IndividualIntervention_Config__KP_ART_Link.Ramp_Max</t>
  </si>
  <si>
    <t>ART Link Mid</t>
  </si>
  <si>
    <t>Actual_IndividualIntervention_Config__KP_ART_Link.Ramp_MidYear</t>
  </si>
  <si>
    <t>Run_Number</t>
  </si>
  <si>
    <t>if you're counting =&gt; scaling</t>
  </si>
  <si>
    <t>Prevalence</t>
  </si>
  <si>
    <t>OnART</t>
  </si>
  <si>
    <t>recommend to sum weights to 1</t>
  </si>
  <si>
    <t>[15:20)</t>
  </si>
  <si>
    <t>[15:50)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</si>
  <si>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</si>
  <si>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</si>
  <si>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</si>
  <si>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</si>
  <si>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</si>
  <si>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</si>
  <si>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</si>
  <si>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Province</t>
  </si>
  <si>
    <t>Gender</t>
  </si>
  <si>
    <t>AgeBin</t>
  </si>
  <si>
    <t>weight may be blank, internal default is 1.0</t>
  </si>
  <si>
    <t>[0:5)</t>
  </si>
  <si>
    <t>[5:10)</t>
  </si>
  <si>
    <t>[10:15)</t>
  </si>
  <si>
    <t>[20:25)</t>
  </si>
  <si>
    <t>[25:30)</t>
  </si>
  <si>
    <t>[30:35)</t>
  </si>
  <si>
    <t>[35:40)</t>
  </si>
  <si>
    <t>[40:45)</t>
  </si>
  <si>
    <t>[45:50)</t>
  </si>
  <si>
    <t>[50:55)</t>
  </si>
  <si>
    <t>[55:60)</t>
  </si>
  <si>
    <t>[60:65)</t>
  </si>
  <si>
    <t>[65:70)</t>
  </si>
  <si>
    <t>[70:75)</t>
  </si>
  <si>
    <t>[75:80)</t>
  </si>
  <si>
    <t>[80:85)</t>
  </si>
  <si>
    <t>[85:90)</t>
  </si>
  <si>
    <t>[90:100)</t>
  </si>
  <si>
    <t>[80:100)</t>
  </si>
  <si>
    <t>Population data from Zambia CSO</t>
  </si>
  <si>
    <t>North-Western</t>
  </si>
  <si>
    <t>[0:15)</t>
  </si>
  <si>
    <t>[15:100)</t>
  </si>
  <si>
    <t>[0:15),[15:100)</t>
  </si>
  <si>
    <t>make changes to post-processing script</t>
  </si>
  <si>
    <t>remove Site file</t>
  </si>
  <si>
    <t>post-processing script can have more age bins than what we have in real data</t>
  </si>
  <si>
    <t>e.g. we have 15-50 here, but we can specify narrower age bins in pp script</t>
  </si>
  <si>
    <t>for channels: just list the years we have (plus others)</t>
  </si>
  <si>
    <t>also add this age bin and age in pp script</t>
  </si>
  <si>
    <t>2015 Error</t>
  </si>
  <si>
    <t>2010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</si>
</sst>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7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 (Body)"/>
    </font>
  </fonts>
  <fills count="1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53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Fill="1" applyBorder="1"/>
    <xf numFmtId="0" fontId="2" fillId="0" borderId="6" xfId="0" applyFont="1" applyFill="1" applyBorder="1"/>
    <xf numFmtId="0" fontId="0" fillId="10" borderId="7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7" xfId="0" applyFill="1" applyBorder="1" applyProtection="1">
      <protection locked="0"/>
    </xf>
    <xf numFmtId="0" fontId="0" fillId="12" borderId="7" xfId="0" applyFill="1" applyBorder="1" applyProtection="1">
      <protection locked="0"/>
    </xf>
    <xf numFmtId="0" fontId="0" fillId="12" borderId="7" xfId="0" applyFill="1" applyBorder="1" applyProtection="1"/>
    <xf numFmtId="0" fontId="5" fillId="0" borderId="0" xfId="0" applyFont="1"/>
    <xf numFmtId="9" fontId="0" fillId="0" borderId="0" xfId="0" applyNumberFormat="1" applyProtection="1">
      <protection locked="0"/>
    </xf>
    <xf numFmtId="1" fontId="0" fillId="12" borderId="7" xfId="0" applyNumberFormat="1" applyFill="1" applyBorder="1" applyProtection="1">
      <protection locked="0"/>
    </xf>
    <xf numFmtId="1" fontId="0" fillId="11" borderId="7" xfId="0" applyNumberFormat="1" applyFill="1" applyBorder="1" applyProtection="1">
      <protection locked="0"/>
    </xf>
    <xf numFmtId="1" fontId="0" fillId="12" borderId="7" xfId="1" applyNumberFormat="1" applyFont="1" applyFill="1" applyBorder="1" applyProtection="1">
      <protection locked="0"/>
    </xf>
    <xf numFmtId="1" fontId="0" fillId="11" borderId="7" xfId="1" applyNumberFormat="1" applyFont="1" applyFill="1" applyBorder="1" applyProtection="1">
      <protection locked="0"/>
    </xf>
  </cellXfs>
  <cellStyles count="2">
    <cellStyle name="Comma" xfId="1" builtinId="3"/>
    <cellStyle name="Normal" xfId="0" builtinId="0"/>
  </cellStyles>
  <dxfs count="27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64770</xdr:colOff>
          <xdr:row>0</xdr:row>
          <xdr:rowOff>140970</xdr:rowOff>
        </xdr:from>
        <xdr:to>
          <xdr:col>9</xdr:col>
          <xdr:colOff>582930</xdr:colOff>
          <xdr:row>3</xdr:row>
          <xdr:rowOff>125730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3313" name="Entry grid creation button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7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 (Body)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4337" name="Entry grid creation button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 (Body)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5361" name="Entry grid creation button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9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 (Body)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ColWidth="8.83984375" defaultRowHeight="14.4"/>
  <cols>
    <col min="1" max="1" width="24.3125" bestFit="1" customWidth="1"/>
    <col min="2" max="2" width="19.3125" customWidth="1"/>
    <col min="4" max="4" width="22.68359375" bestFit="1" customWidth="1"/>
  </cols>
  <sheetData>
    <row r="1" spans="1:8">
      <c r="A1" s="23" t="s">
        <v>6</v>
      </c>
      <c r="B1" s="24"/>
      <c r="E1" s="9" t="s">
        <v>64</v>
      </c>
      <c r="F1" s="9"/>
      <c r="G1" s="9">
        <v>0.3</v>
      </c>
    </row>
    <row r="2" spans="1:8">
      <c r="A2" s="25" t="s">
        <v>8</v>
      </c>
      <c r="B2" s="24" t="s">
        <v>12</v>
      </c>
      <c r="C2" s="14" t="s">
        <v>10</v>
      </c>
    </row>
    <row r="3" spans="1:8">
      <c r="A3" s="25" t="s">
        <v>7</v>
      </c>
      <c r="B3" s="24" t="s">
        <v>12</v>
      </c>
    </row>
    <row r="4" spans="1:8">
      <c r="A4" s="25" t="s">
        <v>9</v>
      </c>
      <c r="B4" s="24"/>
      <c r="C4" s="16" t="s">
        <v>40</v>
      </c>
    </row>
    <row r="5" spans="1:8">
      <c r="A5" s="25" t="s">
        <v>25</v>
      </c>
      <c r="B5" s="24"/>
      <c r="C5" s="1" t="s">
        <v>27</v>
      </c>
    </row>
    <row r="6" spans="1:8">
      <c r="A6" s="25" t="s">
        <v>26</v>
      </c>
      <c r="B6" s="24"/>
      <c r="C6" s="1" t="s">
        <v>27</v>
      </c>
    </row>
    <row r="8" spans="1:8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>
      <c r="A10" s="15" t="s">
        <v>39</v>
      </c>
    </row>
    <row r="11" spans="1:8">
      <c r="A11" s="3" t="s">
        <v>35</v>
      </c>
      <c r="B11" s="3">
        <f>COUNTIF('Model Parameters'!B2:B101, FALSE)</f>
        <v>3</v>
      </c>
      <c r="C11" s="14" t="s">
        <v>37</v>
      </c>
    </row>
    <row r="12" spans="1:8">
      <c r="A12" s="3" t="s">
        <v>36</v>
      </c>
      <c r="B12" s="3">
        <f>COUNTIF('Model Parameters'!B2:B101, TRUE)</f>
        <v>74</v>
      </c>
    </row>
    <row r="13" spans="1:8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26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6"/>
  <sheetViews>
    <sheetView workbookViewId="0">
      <selection activeCell="B17" sqref="B17"/>
    </sheetView>
  </sheetViews>
  <sheetFormatPr defaultColWidth="8.83984375" defaultRowHeight="14.4"/>
  <cols>
    <col min="1" max="1" width="12.3125" bestFit="1" customWidth="1"/>
    <col min="2" max="2" width="16.3125" customWidth="1"/>
    <col min="3" max="3" width="11" customWidth="1"/>
    <col min="8" max="8" width="11.68359375" bestFit="1" customWidth="1"/>
  </cols>
  <sheetData>
    <row r="1" spans="1:13">
      <c r="A1" s="16" t="s">
        <v>90</v>
      </c>
    </row>
    <row r="2" spans="1:13">
      <c r="A2" s="16" t="s">
        <v>92</v>
      </c>
    </row>
    <row r="3" spans="1:13">
      <c r="A3" s="16" t="s">
        <v>94</v>
      </c>
    </row>
    <row r="4" spans="1:13">
      <c r="A4" s="16" t="s">
        <v>91</v>
      </c>
    </row>
    <row r="5" spans="1:13">
      <c r="A5" s="16" t="s">
        <v>99</v>
      </c>
    </row>
    <row r="6" spans="1:13">
      <c r="A6" s="16"/>
    </row>
    <row r="7" spans="1:13">
      <c r="A7" s="11" t="s">
        <v>93</v>
      </c>
      <c r="B7" s="5" t="s">
        <v>100</v>
      </c>
    </row>
    <row r="8" spans="1:13">
      <c r="A8" s="9" t="s">
        <v>85</v>
      </c>
      <c r="B8" s="6">
        <v>15473905</v>
      </c>
    </row>
    <row r="9" spans="1:13">
      <c r="A9" s="9" t="s">
        <v>86</v>
      </c>
      <c r="B9" s="7">
        <v>2015</v>
      </c>
    </row>
    <row r="10" spans="1:13">
      <c r="A10" s="9" t="s">
        <v>87</v>
      </c>
      <c r="B10" s="6" t="s">
        <v>101</v>
      </c>
    </row>
    <row r="11" spans="1:13">
      <c r="A11" s="9" t="s">
        <v>88</v>
      </c>
      <c r="B11" s="7">
        <v>1</v>
      </c>
      <c r="C11" s="7">
        <v>2</v>
      </c>
      <c r="D11" s="7">
        <v>3</v>
      </c>
      <c r="E11" s="7">
        <v>4</v>
      </c>
      <c r="F11" s="7">
        <v>5</v>
      </c>
      <c r="G11" s="7">
        <v>6</v>
      </c>
      <c r="H11" s="7">
        <v>7</v>
      </c>
      <c r="I11" s="7">
        <v>8</v>
      </c>
      <c r="J11" s="7">
        <v>9</v>
      </c>
      <c r="K11" s="7">
        <v>10</v>
      </c>
      <c r="L11" s="7"/>
      <c r="M11" s="7"/>
    </row>
    <row r="12" spans="1:13">
      <c r="A12" s="9" t="s">
        <v>89</v>
      </c>
      <c r="B12" s="4" t="s">
        <v>102</v>
      </c>
      <c r="C12" s="4" t="s">
        <v>103</v>
      </c>
      <c r="D12" s="4" t="s">
        <v>104</v>
      </c>
      <c r="E12" s="4" t="s">
        <v>105</v>
      </c>
      <c r="F12" s="4" t="s">
        <v>106</v>
      </c>
      <c r="G12" s="4" t="s">
        <v>107</v>
      </c>
      <c r="H12" s="4" t="s">
        <v>108</v>
      </c>
      <c r="I12" s="4" t="s">
        <v>109</v>
      </c>
      <c r="J12" s="4" t="s">
        <v>110</v>
      </c>
      <c r="K12" s="4" t="s">
        <v>111</v>
      </c>
      <c r="L12" s="4"/>
      <c r="M12" s="4"/>
    </row>
    <row r="16" spans="1:13">
      <c r="B16" t="s">
        <v>296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3"/>
  <sheetViews>
    <sheetView topLeftCell="A53" workbookViewId="0">
      <selection activeCell="A2" sqref="A2"/>
    </sheetView>
  </sheetViews>
  <sheetFormatPr defaultColWidth="8.83984375" defaultRowHeight="14.4"/>
  <cols>
    <col min="1" max="1" width="37.83984375" customWidth="1"/>
    <col min="3" max="3" width="10.83984375" bestFit="1" customWidth="1"/>
    <col min="6" max="6" width="96.68359375" bestFit="1" customWidth="1"/>
    <col min="7" max="7" width="43.68359375" bestFit="1" customWidth="1"/>
  </cols>
  <sheetData>
    <row r="1" spans="1:7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>
      <c r="A2" s="4" t="s">
        <v>112</v>
      </c>
      <c r="B2" s="5" t="b">
        <v>0</v>
      </c>
      <c r="C2" s="4">
        <v>1982</v>
      </c>
      <c r="D2" s="5">
        <v>1980</v>
      </c>
      <c r="E2" s="4">
        <v>1990</v>
      </c>
      <c r="F2" s="5" t="s">
        <v>113</v>
      </c>
      <c r="G2" s="16"/>
    </row>
    <row r="3" spans="1:7">
      <c r="A3" s="4" t="s">
        <v>114</v>
      </c>
      <c r="B3" s="5" t="b">
        <v>1</v>
      </c>
      <c r="C3" s="4">
        <v>6.5804999999999998E-4</v>
      </c>
      <c r="D3" s="5">
        <v>4.6251400000000002E-4</v>
      </c>
      <c r="E3" s="4">
        <v>7.31765E-4</v>
      </c>
      <c r="F3" s="5" t="s">
        <v>115</v>
      </c>
    </row>
    <row r="4" spans="1:7">
      <c r="A4" s="4" t="s">
        <v>116</v>
      </c>
      <c r="B4" s="5" t="b">
        <v>0</v>
      </c>
      <c r="C4" s="4">
        <v>0.6</v>
      </c>
      <c r="D4" s="5">
        <v>0.4</v>
      </c>
      <c r="E4" s="4">
        <v>0.9</v>
      </c>
      <c r="F4" s="5" t="s">
        <v>117</v>
      </c>
    </row>
    <row r="5" spans="1:7">
      <c r="A5" s="4" t="s">
        <v>118</v>
      </c>
      <c r="B5" s="5" t="b">
        <v>1</v>
      </c>
      <c r="C5" s="4">
        <v>18.606144675919992</v>
      </c>
      <c r="D5" s="5">
        <v>17.372088099999999</v>
      </c>
      <c r="E5" s="4">
        <v>20</v>
      </c>
      <c r="F5" s="5" t="s">
        <v>119</v>
      </c>
    </row>
    <row r="6" spans="1:7">
      <c r="A6" s="4" t="s">
        <v>120</v>
      </c>
      <c r="B6" s="5" t="b">
        <v>1</v>
      </c>
      <c r="C6" s="4">
        <v>0.22594080922800006</v>
      </c>
      <c r="D6" s="5">
        <v>9.7991968999999998E-2</v>
      </c>
      <c r="E6" s="4">
        <v>0.34069287100000001</v>
      </c>
      <c r="F6" s="5" t="s">
        <v>121</v>
      </c>
      <c r="G6" s="16"/>
    </row>
    <row r="7" spans="1:7">
      <c r="A7" s="4" t="s">
        <v>122</v>
      </c>
      <c r="B7" s="5" t="b">
        <v>1</v>
      </c>
      <c r="C7" s="4">
        <v>16.529063348719998</v>
      </c>
      <c r="D7" s="5">
        <v>15.21136965</v>
      </c>
      <c r="E7" s="4">
        <v>18.476533180000001</v>
      </c>
      <c r="F7" s="5" t="s">
        <v>123</v>
      </c>
      <c r="G7" s="16"/>
    </row>
    <row r="8" spans="1:7">
      <c r="A8" s="4" t="s">
        <v>124</v>
      </c>
      <c r="B8" s="5" t="b">
        <v>1</v>
      </c>
      <c r="C8" s="4">
        <v>0.16722784289600007</v>
      </c>
      <c r="D8" s="5">
        <v>4.7003797E-2</v>
      </c>
      <c r="E8" s="4">
        <v>0.301883187</v>
      </c>
      <c r="F8" s="5" t="s">
        <v>125</v>
      </c>
      <c r="G8" s="16"/>
    </row>
    <row r="9" spans="1:7">
      <c r="A9" s="4" t="s">
        <v>126</v>
      </c>
      <c r="B9" s="5" t="b">
        <v>1</v>
      </c>
      <c r="C9" s="4">
        <v>1.3502689680000004E-3</v>
      </c>
      <c r="D9" s="5">
        <v>5.1454400000000003E-4</v>
      </c>
      <c r="E9" s="4">
        <v>2.147506E-3</v>
      </c>
      <c r="F9" s="5" t="s">
        <v>127</v>
      </c>
      <c r="G9" s="17"/>
    </row>
    <row r="10" spans="1:7">
      <c r="A10" s="4" t="s">
        <v>128</v>
      </c>
      <c r="B10" s="5" t="b">
        <v>1</v>
      </c>
      <c r="C10" s="22">
        <v>3.2670788400000018E-4</v>
      </c>
      <c r="D10" s="21">
        <v>9.1299999999999997E-5</v>
      </c>
      <c r="E10" s="4">
        <v>7.50199E-4</v>
      </c>
      <c r="F10" s="5" t="s">
        <v>129</v>
      </c>
    </row>
    <row r="11" spans="1:7">
      <c r="A11" s="4" t="s">
        <v>130</v>
      </c>
      <c r="B11" s="5" t="b">
        <v>1</v>
      </c>
      <c r="C11" s="22">
        <v>1.5194086800000004E-4</v>
      </c>
      <c r="D11" s="21">
        <v>8.3499999999999997E-5</v>
      </c>
      <c r="E11" s="4">
        <v>2.20516E-4</v>
      </c>
      <c r="F11" s="5" t="s">
        <v>131</v>
      </c>
    </row>
    <row r="12" spans="1:7">
      <c r="A12" s="4" t="s">
        <v>132</v>
      </c>
      <c r="B12" s="5" t="b">
        <v>1</v>
      </c>
      <c r="C12" s="4">
        <v>2.0271207387359995</v>
      </c>
      <c r="D12" s="5">
        <v>1</v>
      </c>
      <c r="E12" s="4">
        <v>3.521532331</v>
      </c>
      <c r="F12" s="5"/>
    </row>
    <row r="13" spans="1:7">
      <c r="A13" s="4" t="s">
        <v>133</v>
      </c>
      <c r="B13" s="5" t="b">
        <v>1</v>
      </c>
      <c r="C13" s="4">
        <v>1.8070278799999999</v>
      </c>
      <c r="D13" s="5">
        <v>1</v>
      </c>
      <c r="E13" s="4">
        <v>3</v>
      </c>
      <c r="F13" s="5"/>
    </row>
    <row r="14" spans="1:7">
      <c r="A14" s="4" t="s">
        <v>134</v>
      </c>
      <c r="B14" s="5" t="b">
        <v>1</v>
      </c>
      <c r="C14" s="4">
        <v>2003.6462943840002</v>
      </c>
      <c r="D14" s="5">
        <v>2001.09944</v>
      </c>
      <c r="E14" s="4">
        <v>2005</v>
      </c>
      <c r="F14" s="5" t="s">
        <v>135</v>
      </c>
    </row>
    <row r="15" spans="1:7">
      <c r="A15" s="4" t="s">
        <v>136</v>
      </c>
      <c r="B15" s="5" t="b">
        <v>1</v>
      </c>
      <c r="C15" s="4">
        <v>2.6805464923679998</v>
      </c>
      <c r="D15" s="5">
        <v>1.799647676</v>
      </c>
      <c r="E15" s="4">
        <v>3</v>
      </c>
      <c r="F15" s="5" t="s">
        <v>137</v>
      </c>
      <c r="G15" t="s">
        <v>138</v>
      </c>
    </row>
    <row r="16" spans="1:7">
      <c r="A16" s="4" t="s">
        <v>139</v>
      </c>
      <c r="B16" s="5" t="b">
        <v>1</v>
      </c>
      <c r="C16" s="4">
        <v>0.29476792519999995</v>
      </c>
      <c r="D16" s="5">
        <v>4.2466528000000003E-2</v>
      </c>
      <c r="E16" s="4">
        <v>0.49784894699999999</v>
      </c>
      <c r="F16" s="5" t="s">
        <v>140</v>
      </c>
    </row>
    <row r="17" spans="1:6">
      <c r="A17" s="4" t="s">
        <v>141</v>
      </c>
      <c r="B17" s="5" t="b">
        <v>1</v>
      </c>
      <c r="C17" s="4">
        <v>1996.6712737560013</v>
      </c>
      <c r="D17" s="5">
        <v>1991.0160960000001</v>
      </c>
      <c r="E17" s="4">
        <v>2002.789368</v>
      </c>
      <c r="F17" s="5" t="s">
        <v>142</v>
      </c>
    </row>
    <row r="18" spans="1:6">
      <c r="A18" s="4" t="s">
        <v>143</v>
      </c>
      <c r="B18" s="5" t="b">
        <v>1</v>
      </c>
      <c r="C18" s="4">
        <v>0.32514846760800026</v>
      </c>
      <c r="D18" s="5">
        <v>0</v>
      </c>
      <c r="E18" s="4">
        <v>1.5773516480000001</v>
      </c>
      <c r="F18" s="5" t="s">
        <v>144</v>
      </c>
    </row>
    <row r="19" spans="1:6">
      <c r="A19" s="4" t="s">
        <v>145</v>
      </c>
      <c r="B19" s="5" t="b">
        <v>1</v>
      </c>
      <c r="C19" s="4">
        <v>0.44293987569999971</v>
      </c>
      <c r="D19" s="5">
        <v>0.263329488</v>
      </c>
      <c r="E19" s="4">
        <v>0.6</v>
      </c>
      <c r="F19" s="5" t="s">
        <v>146</v>
      </c>
    </row>
    <row r="20" spans="1:6">
      <c r="A20" s="4" t="s">
        <v>147</v>
      </c>
      <c r="B20" s="5" t="b">
        <v>1</v>
      </c>
      <c r="C20" s="4">
        <v>1999.4340093160001</v>
      </c>
      <c r="D20" s="5">
        <v>1994.323885</v>
      </c>
      <c r="E20" s="4">
        <v>2003.947105</v>
      </c>
      <c r="F20" s="5" t="s">
        <v>148</v>
      </c>
    </row>
    <row r="21" spans="1:6">
      <c r="A21" s="4" t="s">
        <v>149</v>
      </c>
      <c r="B21" s="5" t="b">
        <v>1</v>
      </c>
      <c r="C21" s="4">
        <v>1.162613441492</v>
      </c>
      <c r="D21" s="5">
        <v>0.47139281999999999</v>
      </c>
      <c r="E21" s="4">
        <v>1.7621867579999999</v>
      </c>
      <c r="F21" s="5" t="s">
        <v>150</v>
      </c>
    </row>
    <row r="22" spans="1:6">
      <c r="A22" s="4" t="s">
        <v>151</v>
      </c>
      <c r="B22" s="5" t="b">
        <v>1</v>
      </c>
      <c r="C22" s="4">
        <v>0.24546589979999997</v>
      </c>
      <c r="D22" s="5">
        <v>0.13995190199999999</v>
      </c>
      <c r="E22" s="4">
        <v>0.3</v>
      </c>
      <c r="F22" s="5" t="s">
        <v>152</v>
      </c>
    </row>
    <row r="23" spans="1:6">
      <c r="A23" s="4" t="s">
        <v>153</v>
      </c>
      <c r="B23" s="5" t="b">
        <v>1</v>
      </c>
      <c r="C23" s="4">
        <v>0.15839391252799989</v>
      </c>
      <c r="D23" s="5">
        <v>0.05</v>
      </c>
      <c r="E23" s="4">
        <v>0.442273786</v>
      </c>
      <c r="F23" s="5"/>
    </row>
    <row r="24" spans="1:6">
      <c r="A24" s="4" t="s">
        <v>154</v>
      </c>
      <c r="B24" s="5" t="b">
        <v>1</v>
      </c>
      <c r="C24" s="4">
        <v>0.17156243564800003</v>
      </c>
      <c r="D24" s="5">
        <v>3.6063360000000003E-2</v>
      </c>
      <c r="E24" s="4">
        <v>0.33033911599999999</v>
      </c>
      <c r="F24" s="5" t="s">
        <v>155</v>
      </c>
    </row>
    <row r="25" spans="1:6">
      <c r="A25" s="4" t="s">
        <v>156</v>
      </c>
      <c r="B25" s="5" t="b">
        <v>1</v>
      </c>
      <c r="C25" s="4">
        <v>0.29684239461599993</v>
      </c>
      <c r="D25" s="5">
        <v>0.12711878099999999</v>
      </c>
      <c r="E25" s="4">
        <v>0.59526004600000004</v>
      </c>
      <c r="F25" s="5" t="s">
        <v>157</v>
      </c>
    </row>
    <row r="26" spans="1:6">
      <c r="A26" s="4" t="s">
        <v>158</v>
      </c>
      <c r="B26" s="5" t="b">
        <v>1</v>
      </c>
      <c r="C26" s="4">
        <v>6.0158364316000003E-2</v>
      </c>
      <c r="D26" s="5">
        <v>0</v>
      </c>
      <c r="E26" s="4">
        <v>0.16144383400000001</v>
      </c>
      <c r="F26" s="5" t="s">
        <v>159</v>
      </c>
    </row>
    <row r="27" spans="1:6">
      <c r="A27" s="4" t="s">
        <v>160</v>
      </c>
      <c r="B27" s="5" t="b">
        <v>1</v>
      </c>
      <c r="C27" s="4">
        <v>0.32757797660000004</v>
      </c>
      <c r="D27" s="5">
        <v>0.129289341</v>
      </c>
      <c r="E27" s="4">
        <v>0.70207470699999996</v>
      </c>
      <c r="F27" s="5" t="s">
        <v>161</v>
      </c>
    </row>
    <row r="28" spans="1:6">
      <c r="A28" s="4" t="s">
        <v>162</v>
      </c>
      <c r="B28" s="5" t="b">
        <v>1</v>
      </c>
      <c r="C28" s="4">
        <v>0.26551587058400006</v>
      </c>
      <c r="D28" s="5">
        <v>0</v>
      </c>
      <c r="E28" s="4">
        <v>0.41746768899999998</v>
      </c>
      <c r="F28" s="5" t="s">
        <v>163</v>
      </c>
    </row>
    <row r="29" spans="1:6">
      <c r="A29" s="4" t="s">
        <v>164</v>
      </c>
      <c r="B29" s="5" t="b">
        <v>1</v>
      </c>
      <c r="C29" s="4">
        <v>0.30056790045999993</v>
      </c>
      <c r="D29" s="5">
        <v>0.18585528700000001</v>
      </c>
      <c r="E29" s="4">
        <v>0.5</v>
      </c>
      <c r="F29" s="5" t="s">
        <v>163</v>
      </c>
    </row>
    <row r="30" spans="1:6">
      <c r="A30" s="4" t="s">
        <v>165</v>
      </c>
      <c r="B30" s="5" t="b">
        <v>1</v>
      </c>
      <c r="C30" s="4">
        <v>1.8332489289200007</v>
      </c>
      <c r="D30" s="5">
        <v>1.4378860339999999</v>
      </c>
      <c r="E30" s="4">
        <v>2</v>
      </c>
      <c r="F30" s="5" t="s">
        <v>166</v>
      </c>
    </row>
    <row r="31" spans="1:6">
      <c r="A31" s="4" t="s">
        <v>167</v>
      </c>
      <c r="B31" s="5" t="b">
        <v>1</v>
      </c>
      <c r="C31" s="4">
        <v>1.8332489289200007</v>
      </c>
      <c r="D31" s="5">
        <v>1.4378860339999999</v>
      </c>
      <c r="E31" s="4">
        <v>2</v>
      </c>
      <c r="F31" s="5" t="s">
        <v>168</v>
      </c>
    </row>
    <row r="32" spans="1:6">
      <c r="A32" s="4" t="s">
        <v>169</v>
      </c>
      <c r="B32" s="5" t="b">
        <v>1</v>
      </c>
      <c r="C32" s="4">
        <v>1.220070328784</v>
      </c>
      <c r="D32" s="5">
        <v>0.90259958900000004</v>
      </c>
      <c r="E32" s="4">
        <v>1.457616563</v>
      </c>
      <c r="F32" s="5" t="s">
        <v>170</v>
      </c>
    </row>
    <row r="33" spans="1:6">
      <c r="A33" s="4" t="s">
        <v>171</v>
      </c>
      <c r="B33" s="5" t="b">
        <v>1</v>
      </c>
      <c r="C33" s="4">
        <v>1.220070328784</v>
      </c>
      <c r="D33" s="5">
        <v>0.90259958900000004</v>
      </c>
      <c r="E33" s="4">
        <v>1.457616563</v>
      </c>
      <c r="F33" s="5" t="s">
        <v>172</v>
      </c>
    </row>
    <row r="34" spans="1:6">
      <c r="A34" s="4" t="s">
        <v>173</v>
      </c>
      <c r="B34" s="5" t="b">
        <v>1</v>
      </c>
      <c r="C34" s="4">
        <v>0.41100819157199991</v>
      </c>
      <c r="D34" s="5">
        <v>0.23247206000000001</v>
      </c>
      <c r="E34" s="4">
        <v>0.5</v>
      </c>
      <c r="F34" s="5" t="s">
        <v>174</v>
      </c>
    </row>
    <row r="35" spans="1:6">
      <c r="A35" s="4" t="s">
        <v>175</v>
      </c>
      <c r="B35" s="5" t="b">
        <v>1</v>
      </c>
      <c r="C35" s="4">
        <v>0.3926795025160002</v>
      </c>
      <c r="D35" s="5">
        <v>0.207438656</v>
      </c>
      <c r="E35" s="4">
        <v>0.5</v>
      </c>
      <c r="F35" s="5" t="s">
        <v>176</v>
      </c>
    </row>
    <row r="36" spans="1:6">
      <c r="A36" s="4" t="s">
        <v>177</v>
      </c>
      <c r="B36" s="5" t="b">
        <v>1</v>
      </c>
      <c r="C36" s="4">
        <v>2.2127818964040005</v>
      </c>
      <c r="D36" s="5">
        <v>1.5658188749999999</v>
      </c>
      <c r="E36" s="4">
        <v>3</v>
      </c>
      <c r="F36" s="5" t="s">
        <v>178</v>
      </c>
    </row>
    <row r="37" spans="1:6">
      <c r="A37" s="4" t="s">
        <v>179</v>
      </c>
      <c r="B37" s="5" t="b">
        <v>1</v>
      </c>
      <c r="C37" s="4">
        <v>2.2127818964040005</v>
      </c>
      <c r="D37" s="5">
        <v>1.5658188749999999</v>
      </c>
      <c r="E37" s="4">
        <v>3</v>
      </c>
      <c r="F37" s="5" t="s">
        <v>180</v>
      </c>
    </row>
    <row r="38" spans="1:6">
      <c r="A38" s="4" t="s">
        <v>181</v>
      </c>
      <c r="B38" s="5" t="b">
        <v>1</v>
      </c>
      <c r="C38" s="4">
        <v>2.7086229532600004</v>
      </c>
      <c r="D38" s="5">
        <v>1.9498267789999999</v>
      </c>
      <c r="E38" s="4">
        <v>3</v>
      </c>
      <c r="F38" s="5" t="s">
        <v>182</v>
      </c>
    </row>
    <row r="39" spans="1:6">
      <c r="A39" s="4" t="s">
        <v>183</v>
      </c>
      <c r="B39" s="5" t="b">
        <v>1</v>
      </c>
      <c r="C39" s="4">
        <v>2.7086229532600004</v>
      </c>
      <c r="D39" s="5">
        <v>1.9498267789999999</v>
      </c>
      <c r="E39" s="4">
        <v>3</v>
      </c>
      <c r="F39" s="5" t="s">
        <v>184</v>
      </c>
    </row>
    <row r="40" spans="1:6">
      <c r="A40" s="4" t="s">
        <v>185</v>
      </c>
      <c r="B40" s="5" t="b">
        <v>1</v>
      </c>
      <c r="C40" s="4">
        <v>1.8276888435080003</v>
      </c>
      <c r="D40" s="5">
        <v>1.4681707509999999</v>
      </c>
      <c r="E40" s="4">
        <v>2</v>
      </c>
      <c r="F40" s="5" t="s">
        <v>186</v>
      </c>
    </row>
    <row r="41" spans="1:6">
      <c r="A41" s="4" t="s">
        <v>187</v>
      </c>
      <c r="B41" s="5" t="b">
        <v>1</v>
      </c>
      <c r="C41" s="4">
        <v>1.8276888435080003</v>
      </c>
      <c r="D41" s="5">
        <v>1.4681707509999999</v>
      </c>
      <c r="E41" s="4">
        <v>2</v>
      </c>
      <c r="F41" s="5" t="s">
        <v>188</v>
      </c>
    </row>
    <row r="42" spans="1:6">
      <c r="A42" s="4" t="s">
        <v>189</v>
      </c>
      <c r="B42" s="5" t="b">
        <v>0</v>
      </c>
      <c r="C42" s="4">
        <v>0.75</v>
      </c>
      <c r="D42" s="5">
        <v>0.75</v>
      </c>
      <c r="E42" s="4">
        <v>0.75</v>
      </c>
      <c r="F42" s="5" t="s">
        <v>190</v>
      </c>
    </row>
    <row r="43" spans="1:6">
      <c r="A43" s="4" t="s">
        <v>191</v>
      </c>
      <c r="B43" s="5" t="b">
        <v>1</v>
      </c>
      <c r="C43" s="4">
        <v>0.68401046514800035</v>
      </c>
      <c r="D43" s="5">
        <v>0.50331042699999995</v>
      </c>
      <c r="E43" s="4">
        <v>0.8</v>
      </c>
      <c r="F43" s="5" t="s">
        <v>192</v>
      </c>
    </row>
    <row r="44" spans="1:6">
      <c r="A44" s="4" t="s">
        <v>193</v>
      </c>
      <c r="B44" s="5" t="b">
        <v>1</v>
      </c>
      <c r="C44" s="4">
        <v>0.51102632618799981</v>
      </c>
      <c r="D44" s="5">
        <v>0.36830392299999998</v>
      </c>
      <c r="E44" s="4">
        <v>0.6</v>
      </c>
      <c r="F44" s="5" t="s">
        <v>194</v>
      </c>
    </row>
    <row r="45" spans="1:6">
      <c r="A45" s="4" t="s">
        <v>195</v>
      </c>
      <c r="B45" s="5" t="b">
        <v>1</v>
      </c>
      <c r="C45" s="4">
        <v>0.25420504616000011</v>
      </c>
      <c r="D45" s="5">
        <v>0.101207687</v>
      </c>
      <c r="E45" s="4">
        <v>0.35166267600000001</v>
      </c>
      <c r="F45" s="5"/>
    </row>
    <row r="46" spans="1:6">
      <c r="A46" s="4" t="s">
        <v>196</v>
      </c>
      <c r="B46" s="5" t="b">
        <v>1</v>
      </c>
      <c r="C46" s="4">
        <v>0.42587584888400021</v>
      </c>
      <c r="D46" s="5">
        <v>0.19746852000000001</v>
      </c>
      <c r="E46" s="4">
        <v>0.54900315300000002</v>
      </c>
      <c r="F46" s="5" t="s">
        <v>197</v>
      </c>
    </row>
    <row r="47" spans="1:6">
      <c r="A47" s="4" t="s">
        <v>198</v>
      </c>
      <c r="B47" s="5" t="b">
        <v>1</v>
      </c>
      <c r="C47" s="4">
        <v>0.22692407542000004</v>
      </c>
      <c r="D47" s="5">
        <v>0</v>
      </c>
      <c r="E47" s="4">
        <v>0.41762935600000001</v>
      </c>
      <c r="F47" s="5" t="s">
        <v>199</v>
      </c>
    </row>
    <row r="48" spans="1:6">
      <c r="A48" s="4" t="s">
        <v>200</v>
      </c>
      <c r="B48" s="5" t="b">
        <v>1</v>
      </c>
      <c r="C48" s="4">
        <v>0.33404160517999998</v>
      </c>
      <c r="D48" s="5">
        <v>0.23286617500000001</v>
      </c>
      <c r="E48" s="4">
        <v>0.41387688700000003</v>
      </c>
      <c r="F48" s="5"/>
    </row>
    <row r="49" spans="1:6">
      <c r="A49" s="4" t="s">
        <v>201</v>
      </c>
      <c r="B49" s="5" t="b">
        <v>1</v>
      </c>
      <c r="C49" s="4">
        <v>0.50862354590000036</v>
      </c>
      <c r="D49" s="5">
        <v>0.21299486400000001</v>
      </c>
      <c r="E49" s="4">
        <v>0.8</v>
      </c>
      <c r="F49" s="5" t="s">
        <v>202</v>
      </c>
    </row>
    <row r="50" spans="1:6">
      <c r="A50" s="4" t="s">
        <v>203</v>
      </c>
      <c r="B50" s="5" t="b">
        <v>1</v>
      </c>
      <c r="C50" s="4">
        <v>0.17035180852400009</v>
      </c>
      <c r="D50" s="5">
        <v>1.8981119000000001E-2</v>
      </c>
      <c r="E50" s="4">
        <v>0.40347980300000003</v>
      </c>
      <c r="F50" s="5" t="s">
        <v>204</v>
      </c>
    </row>
    <row r="51" spans="1:6">
      <c r="A51" s="4" t="s">
        <v>205</v>
      </c>
      <c r="B51" s="5" t="b">
        <v>1</v>
      </c>
      <c r="C51" s="4">
        <v>0.12594297065199994</v>
      </c>
      <c r="D51" s="5">
        <v>0.05</v>
      </c>
      <c r="E51" s="4">
        <v>0.25815628299999999</v>
      </c>
      <c r="F51" s="5"/>
    </row>
    <row r="52" spans="1:6">
      <c r="A52" s="4" t="s">
        <v>206</v>
      </c>
      <c r="B52" s="5" t="b">
        <v>1</v>
      </c>
      <c r="C52" s="4">
        <v>0.67562444236799934</v>
      </c>
      <c r="D52" s="5">
        <v>0.31366449099999999</v>
      </c>
      <c r="E52" s="4">
        <v>0.8</v>
      </c>
      <c r="F52" s="5" t="s">
        <v>207</v>
      </c>
    </row>
    <row r="53" spans="1:6">
      <c r="A53" s="4" t="s">
        <v>208</v>
      </c>
      <c r="B53" s="5" t="b">
        <v>1</v>
      </c>
      <c r="C53" s="4">
        <v>0.53282653421599979</v>
      </c>
      <c r="D53" s="5">
        <v>0.40644940400000001</v>
      </c>
      <c r="E53" s="4">
        <v>0.6</v>
      </c>
      <c r="F53" s="5" t="s">
        <v>209</v>
      </c>
    </row>
    <row r="54" spans="1:6">
      <c r="A54" s="4" t="s">
        <v>210</v>
      </c>
      <c r="B54" s="5" t="b">
        <v>1</v>
      </c>
      <c r="C54" s="4">
        <v>0.23366463305199994</v>
      </c>
      <c r="D54" s="5">
        <v>6.8374894000000006E-2</v>
      </c>
      <c r="E54" s="4">
        <v>0.42483927100000002</v>
      </c>
      <c r="F54" s="5"/>
    </row>
    <row r="55" spans="1:6">
      <c r="A55" s="4" t="s">
        <v>211</v>
      </c>
      <c r="B55" s="5" t="b">
        <v>1</v>
      </c>
      <c r="C55" s="4">
        <v>0.18005020621200005</v>
      </c>
      <c r="D55" s="5">
        <v>0</v>
      </c>
      <c r="E55" s="4">
        <v>0.66236652500000004</v>
      </c>
      <c r="F55" s="5" t="s">
        <v>212</v>
      </c>
    </row>
    <row r="56" spans="1:6">
      <c r="A56" s="4" t="s">
        <v>213</v>
      </c>
      <c r="B56" s="5" t="b">
        <v>1</v>
      </c>
      <c r="C56" s="4">
        <v>0.53119283771999981</v>
      </c>
      <c r="D56" s="5">
        <v>0.37489924400000002</v>
      </c>
      <c r="E56" s="4">
        <v>0.6</v>
      </c>
      <c r="F56" s="5" t="s">
        <v>214</v>
      </c>
    </row>
    <row r="57" spans="1:6">
      <c r="A57" s="4" t="s">
        <v>215</v>
      </c>
      <c r="B57" s="5" t="b">
        <v>1</v>
      </c>
      <c r="C57" s="4">
        <v>0.38068591408400021</v>
      </c>
      <c r="D57" s="5">
        <v>0.211396792</v>
      </c>
      <c r="E57" s="4">
        <v>0.5</v>
      </c>
      <c r="F57" s="5"/>
    </row>
    <row r="58" spans="1:6">
      <c r="A58" s="4" t="s">
        <v>216</v>
      </c>
      <c r="B58" s="5" t="b">
        <v>1</v>
      </c>
      <c r="C58" s="4">
        <v>0.48440360224799983</v>
      </c>
      <c r="D58" s="5">
        <v>0.325522692</v>
      </c>
      <c r="E58" s="4">
        <v>0.8</v>
      </c>
      <c r="F58" s="5" t="s">
        <v>217</v>
      </c>
    </row>
    <row r="59" spans="1:6">
      <c r="A59" s="4" t="s">
        <v>218</v>
      </c>
      <c r="B59" s="5" t="b">
        <v>1</v>
      </c>
      <c r="C59" s="4">
        <v>0.20668921986799996</v>
      </c>
      <c r="D59" s="5">
        <v>3.8298426000000003E-2</v>
      </c>
      <c r="E59" s="4">
        <v>0.58039918599999996</v>
      </c>
      <c r="F59" s="5" t="s">
        <v>219</v>
      </c>
    </row>
    <row r="60" spans="1:6">
      <c r="A60" s="4" t="s">
        <v>220</v>
      </c>
      <c r="B60" s="5" t="b">
        <v>1</v>
      </c>
      <c r="C60" s="4">
        <v>9.2723074176000023E-2</v>
      </c>
      <c r="D60" s="5">
        <v>0.05</v>
      </c>
      <c r="E60" s="4">
        <v>0.23341755</v>
      </c>
      <c r="F60" s="5"/>
    </row>
    <row r="61" spans="1:6">
      <c r="A61" s="4" t="s">
        <v>221</v>
      </c>
      <c r="B61" s="5" t="b">
        <v>1</v>
      </c>
      <c r="C61" s="4">
        <v>0.60790848909999973</v>
      </c>
      <c r="D61" s="5">
        <v>0.35428512600000001</v>
      </c>
      <c r="E61" s="4">
        <v>0.8</v>
      </c>
      <c r="F61" s="5" t="s">
        <v>222</v>
      </c>
    </row>
    <row r="62" spans="1:6">
      <c r="A62" s="4" t="s">
        <v>223</v>
      </c>
      <c r="B62" s="5" t="b">
        <v>1</v>
      </c>
      <c r="C62" s="4">
        <v>0.48763223507199949</v>
      </c>
      <c r="D62" s="5">
        <v>0.135008185</v>
      </c>
      <c r="E62" s="4">
        <v>0.6</v>
      </c>
      <c r="F62" s="5" t="s">
        <v>224</v>
      </c>
    </row>
    <row r="63" spans="1:6">
      <c r="A63" s="4" t="s">
        <v>225</v>
      </c>
      <c r="B63" s="5" t="b">
        <v>1</v>
      </c>
      <c r="C63" s="4">
        <v>0.44898045094000005</v>
      </c>
      <c r="D63" s="5">
        <v>0.34873242700000001</v>
      </c>
      <c r="E63" s="4">
        <v>0.5</v>
      </c>
      <c r="F63" s="5"/>
    </row>
    <row r="64" spans="1:6">
      <c r="A64" s="4" t="s">
        <v>226</v>
      </c>
      <c r="B64" s="5" t="b">
        <v>1</v>
      </c>
      <c r="C64" s="4">
        <v>0.65442845671999994</v>
      </c>
      <c r="D64" s="5">
        <v>0.46139555199999999</v>
      </c>
      <c r="E64" s="4">
        <v>0.8</v>
      </c>
      <c r="F64" s="5" t="s">
        <v>227</v>
      </c>
    </row>
    <row r="65" spans="1:6">
      <c r="A65" s="4" t="s">
        <v>228</v>
      </c>
      <c r="B65" s="5" t="b">
        <v>1</v>
      </c>
      <c r="C65" s="4">
        <v>0.48899453800799997</v>
      </c>
      <c r="D65" s="5">
        <v>0.25587172200000002</v>
      </c>
      <c r="E65" s="4">
        <v>0.6</v>
      </c>
      <c r="F65" s="5" t="s">
        <v>229</v>
      </c>
    </row>
    <row r="66" spans="1:6">
      <c r="A66" s="4" t="s">
        <v>230</v>
      </c>
      <c r="B66" s="5" t="b">
        <v>1</v>
      </c>
      <c r="C66" s="4">
        <v>0.29144055096000021</v>
      </c>
      <c r="D66" s="5">
        <v>9.1520549000000007E-2</v>
      </c>
      <c r="E66" s="4">
        <v>0.5</v>
      </c>
      <c r="F66" s="5"/>
    </row>
    <row r="67" spans="1:6">
      <c r="A67" s="4" t="s">
        <v>231</v>
      </c>
      <c r="B67" s="5" t="b">
        <v>1</v>
      </c>
      <c r="C67" s="4">
        <v>0.73084427380000072</v>
      </c>
      <c r="D67" s="5">
        <v>0.48805803399999997</v>
      </c>
      <c r="E67" s="4">
        <v>0.8</v>
      </c>
      <c r="F67" s="5" t="s">
        <v>232</v>
      </c>
    </row>
    <row r="68" spans="1:6">
      <c r="A68" s="4" t="s">
        <v>233</v>
      </c>
      <c r="B68" s="5" t="b">
        <v>1</v>
      </c>
      <c r="C68" s="4">
        <v>0.52695615925599959</v>
      </c>
      <c r="D68" s="5">
        <v>0.34426051499999999</v>
      </c>
      <c r="E68" s="4">
        <v>0.6</v>
      </c>
      <c r="F68" s="5" t="s">
        <v>234</v>
      </c>
    </row>
    <row r="69" spans="1:6">
      <c r="A69" s="4" t="s">
        <v>235</v>
      </c>
      <c r="B69" s="5" t="b">
        <v>1</v>
      </c>
      <c r="C69" s="4">
        <v>0.37411927990800031</v>
      </c>
      <c r="D69" s="5">
        <v>0.25608019999999998</v>
      </c>
      <c r="E69" s="4">
        <v>0.5</v>
      </c>
      <c r="F69" s="5"/>
    </row>
    <row r="70" spans="1:6">
      <c r="A70" s="4" t="s">
        <v>236</v>
      </c>
      <c r="B70" s="5" t="b">
        <v>1</v>
      </c>
      <c r="C70" s="4">
        <v>0.64063047910400006</v>
      </c>
      <c r="D70" s="5">
        <v>0.40419626800000003</v>
      </c>
      <c r="E70" s="4">
        <v>0.8</v>
      </c>
      <c r="F70" s="5" t="s">
        <v>237</v>
      </c>
    </row>
    <row r="71" spans="1:6">
      <c r="A71" s="4" t="s">
        <v>238</v>
      </c>
      <c r="B71" s="5" t="b">
        <v>1</v>
      </c>
      <c r="C71" s="4">
        <v>8.5014505124000009E-2</v>
      </c>
      <c r="D71" s="5">
        <v>0</v>
      </c>
      <c r="E71" s="4">
        <v>0.311877405</v>
      </c>
      <c r="F71" s="5" t="s">
        <v>239</v>
      </c>
    </row>
    <row r="72" spans="1:6">
      <c r="A72" s="4" t="s">
        <v>240</v>
      </c>
      <c r="B72" s="5" t="b">
        <v>1</v>
      </c>
      <c r="C72" s="4">
        <v>0.27806683421600009</v>
      </c>
      <c r="D72" s="5">
        <v>0.107138081</v>
      </c>
      <c r="E72" s="4">
        <v>0.48050009399999999</v>
      </c>
      <c r="F72" s="5"/>
    </row>
    <row r="73" spans="1:6">
      <c r="A73" s="4" t="s">
        <v>241</v>
      </c>
      <c r="B73" s="5" t="b">
        <v>1</v>
      </c>
      <c r="C73" s="4">
        <v>0.83752695840799962</v>
      </c>
      <c r="D73" s="5">
        <v>0.58773282999999998</v>
      </c>
      <c r="E73" s="4">
        <v>1</v>
      </c>
      <c r="F73" s="5"/>
    </row>
    <row r="74" spans="1:6">
      <c r="A74" s="4" t="s">
        <v>242</v>
      </c>
      <c r="B74" s="5" t="b">
        <v>1</v>
      </c>
      <c r="C74" s="4">
        <v>0.96334671646799952</v>
      </c>
      <c r="D74" s="5">
        <v>0.77171479300000001</v>
      </c>
      <c r="E74" s="4">
        <v>1</v>
      </c>
      <c r="F74" s="5"/>
    </row>
    <row r="75" spans="1:6">
      <c r="A75" s="4" t="s">
        <v>243</v>
      </c>
      <c r="B75" s="5" t="b">
        <v>1</v>
      </c>
      <c r="C75" s="4">
        <v>2006.542934072</v>
      </c>
      <c r="D75" s="5">
        <v>2002.674583</v>
      </c>
      <c r="E75" s="4">
        <v>2010</v>
      </c>
      <c r="F75" s="5" t="s">
        <v>244</v>
      </c>
    </row>
    <row r="76" spans="1:6">
      <c r="A76" s="4" t="s">
        <v>245</v>
      </c>
      <c r="B76" s="5" t="b">
        <v>1</v>
      </c>
      <c r="C76" s="4">
        <v>0.89183976698400003</v>
      </c>
      <c r="D76" s="5">
        <v>0.67129063600000005</v>
      </c>
      <c r="E76" s="4">
        <v>1</v>
      </c>
      <c r="F76" s="5" t="s">
        <v>246</v>
      </c>
    </row>
    <row r="77" spans="1:6">
      <c r="A77" s="4" t="s">
        <v>247</v>
      </c>
      <c r="B77" s="5" t="b">
        <v>1</v>
      </c>
      <c r="C77" s="4">
        <v>1997.8751006279995</v>
      </c>
      <c r="D77" s="5">
        <v>1995</v>
      </c>
      <c r="E77" s="4">
        <v>2001.259622</v>
      </c>
      <c r="F77" s="5" t="s">
        <v>248</v>
      </c>
    </row>
    <row r="78" spans="1:6">
      <c r="A78" s="4" t="s">
        <v>249</v>
      </c>
      <c r="B78" s="5" t="b">
        <v>1</v>
      </c>
      <c r="C78" s="4">
        <v>493104.44799999997</v>
      </c>
      <c r="D78" s="5">
        <v>4607</v>
      </c>
      <c r="E78" s="4">
        <v>997118</v>
      </c>
      <c r="F78" s="5"/>
    </row>
    <row r="79" spans="1:6">
      <c r="A79" s="4"/>
      <c r="B79" s="5" t="s">
        <v>12</v>
      </c>
      <c r="C79" s="4"/>
      <c r="D79" s="5"/>
      <c r="E79" s="4"/>
      <c r="F79" s="5"/>
    </row>
    <row r="80" spans="1:6">
      <c r="A80" s="4"/>
      <c r="B80" s="5" t="s">
        <v>12</v>
      </c>
      <c r="C80" s="4"/>
      <c r="D80" s="5"/>
      <c r="E80" s="4"/>
      <c r="F80" s="5"/>
    </row>
    <row r="81" spans="1:6">
      <c r="A81" s="4"/>
      <c r="B81" s="5" t="s">
        <v>12</v>
      </c>
      <c r="C81" s="4"/>
      <c r="D81" s="5"/>
      <c r="E81" s="4"/>
      <c r="F81" s="5"/>
    </row>
    <row r="82" spans="1:6">
      <c r="A82" s="4"/>
      <c r="B82" s="5" t="s">
        <v>12</v>
      </c>
      <c r="C82" s="4"/>
      <c r="D82" s="5"/>
      <c r="E82" s="4"/>
      <c r="F82" s="5"/>
    </row>
    <row r="83" spans="1:6">
      <c r="A83" s="4"/>
      <c r="B83" s="5" t="s">
        <v>12</v>
      </c>
      <c r="C83" s="4"/>
      <c r="D83" s="5"/>
      <c r="E83" s="4"/>
      <c r="F83" s="5"/>
    </row>
    <row r="84" spans="1:6">
      <c r="A84" s="4"/>
      <c r="B84" s="5" t="s">
        <v>12</v>
      </c>
      <c r="C84" s="4"/>
      <c r="D84" s="5"/>
      <c r="E84" s="4"/>
      <c r="F84" s="5"/>
    </row>
    <row r="85" spans="1:6">
      <c r="A85" s="4"/>
      <c r="B85" s="5" t="s">
        <v>12</v>
      </c>
      <c r="C85" s="4"/>
      <c r="D85" s="5"/>
      <c r="E85" s="4"/>
      <c r="F85" s="5"/>
    </row>
    <row r="86" spans="1:6">
      <c r="A86" s="4"/>
      <c r="B86" s="5" t="s">
        <v>12</v>
      </c>
      <c r="C86" s="4"/>
      <c r="D86" s="5"/>
      <c r="E86" s="4"/>
      <c r="F86" s="5"/>
    </row>
    <row r="87" spans="1:6">
      <c r="A87" s="4"/>
      <c r="B87" s="5" t="s">
        <v>12</v>
      </c>
      <c r="C87" s="4"/>
      <c r="D87" s="5"/>
      <c r="E87" s="4"/>
      <c r="F87" s="5"/>
    </row>
    <row r="88" spans="1:6">
      <c r="A88" s="4"/>
      <c r="B88" s="5" t="s">
        <v>12</v>
      </c>
      <c r="C88" s="4"/>
      <c r="D88" s="5"/>
      <c r="E88" s="4"/>
      <c r="F88" s="5"/>
    </row>
    <row r="89" spans="1:6">
      <c r="A89" s="4"/>
      <c r="B89" s="5" t="s">
        <v>12</v>
      </c>
      <c r="C89" s="4"/>
      <c r="D89" s="5"/>
      <c r="E89" s="4"/>
      <c r="F89" s="5"/>
    </row>
    <row r="90" spans="1:6">
      <c r="A90" s="4"/>
      <c r="B90" s="5" t="s">
        <v>12</v>
      </c>
      <c r="C90" s="4"/>
      <c r="D90" s="5"/>
      <c r="E90" s="4"/>
      <c r="F90" s="5"/>
    </row>
    <row r="91" spans="1:6">
      <c r="A91" s="4"/>
      <c r="B91" s="5" t="s">
        <v>12</v>
      </c>
      <c r="C91" s="4"/>
      <c r="D91" s="5"/>
      <c r="E91" s="4"/>
      <c r="F91" s="5"/>
    </row>
    <row r="92" spans="1:6">
      <c r="A92" s="4"/>
      <c r="B92" s="5" t="s">
        <v>12</v>
      </c>
      <c r="C92" s="4"/>
      <c r="D92" s="5"/>
      <c r="E92" s="4"/>
      <c r="F92" s="5"/>
    </row>
    <row r="93" spans="1:6">
      <c r="A93" s="4"/>
      <c r="B93" s="5" t="s">
        <v>12</v>
      </c>
      <c r="C93" s="4"/>
      <c r="D93" s="5"/>
      <c r="E93" s="4"/>
      <c r="F93" s="5"/>
    </row>
    <row r="94" spans="1:6">
      <c r="A94" s="4"/>
      <c r="B94" s="5" t="s">
        <v>12</v>
      </c>
      <c r="C94" s="4"/>
      <c r="D94" s="5"/>
      <c r="E94" s="4"/>
      <c r="F94" s="5"/>
    </row>
    <row r="95" spans="1:6">
      <c r="A95" s="4"/>
      <c r="B95" s="5" t="s">
        <v>12</v>
      </c>
      <c r="C95" s="4"/>
      <c r="D95" s="5"/>
      <c r="E95" s="4"/>
      <c r="F95" s="5"/>
    </row>
    <row r="96" spans="1:6">
      <c r="A96" s="4"/>
      <c r="B96" s="5" t="s">
        <v>12</v>
      </c>
      <c r="C96" s="4"/>
      <c r="D96" s="5"/>
      <c r="E96" s="4"/>
      <c r="F96" s="5"/>
    </row>
    <row r="97" spans="1:6">
      <c r="A97" s="4"/>
      <c r="B97" s="5" t="s">
        <v>12</v>
      </c>
      <c r="C97" s="4"/>
      <c r="D97" s="5"/>
      <c r="E97" s="4"/>
      <c r="F97" s="5"/>
    </row>
    <row r="98" spans="1:6">
      <c r="A98" s="4"/>
      <c r="B98" s="5" t="s">
        <v>12</v>
      </c>
      <c r="C98" s="4"/>
      <c r="D98" s="5"/>
      <c r="E98" s="4"/>
      <c r="F98" s="5"/>
    </row>
    <row r="99" spans="1:6">
      <c r="A99" s="4"/>
      <c r="B99" s="5" t="s">
        <v>12</v>
      </c>
      <c r="C99" s="4"/>
      <c r="D99" s="5"/>
      <c r="E99" s="4"/>
      <c r="F99" s="5"/>
    </row>
    <row r="100" spans="1:6">
      <c r="A100" s="4"/>
      <c r="B100" s="5" t="s">
        <v>12</v>
      </c>
      <c r="C100" s="4"/>
      <c r="D100" s="5"/>
      <c r="E100" s="4"/>
      <c r="F100" s="5"/>
    </row>
    <row r="101" spans="1:6">
      <c r="A101" s="4"/>
      <c r="B101" s="5" t="s">
        <v>12</v>
      </c>
      <c r="C101" s="4"/>
      <c r="D101" s="5"/>
      <c r="E101" s="4"/>
      <c r="F101" s="5"/>
    </row>
    <row r="103" spans="1:6">
      <c r="D103" t="s">
        <v>138</v>
      </c>
    </row>
  </sheetData>
  <conditionalFormatting sqref="C79:C101">
    <cfRule type="expression" dxfId="25" priority="18">
      <formula>AND(OR(C79 &lt; D79, C79 &gt; E79, C79 = none), A79 &lt;&gt; none)</formula>
    </cfRule>
  </conditionalFormatting>
  <conditionalFormatting sqref="D79:D101">
    <cfRule type="expression" dxfId="24" priority="15">
      <formula>AND(OR(D79 &gt; E79, D79=none), A79 &lt;&gt; none)</formula>
    </cfRule>
  </conditionalFormatting>
  <conditionalFormatting sqref="E79:E101">
    <cfRule type="expression" dxfId="23" priority="13">
      <formula>AND(OR(E79 &lt; D79, E79=none), A79 &lt;&gt; none)</formula>
    </cfRule>
  </conditionalFormatting>
  <conditionalFormatting sqref="B79:B101">
    <cfRule type="expression" dxfId="22" priority="12">
      <formula>AND(B79&lt;&gt;TRUE, B79&lt;&gt;FALSE, A79&lt;&gt;none)</formula>
    </cfRule>
  </conditionalFormatting>
  <conditionalFormatting sqref="C2:C12">
    <cfRule type="expression" dxfId="21" priority="8">
      <formula>AND(OR(C2 &lt; D2, C2 &gt; E2, C2 = none), A2 &lt;&gt; none)</formula>
    </cfRule>
  </conditionalFormatting>
  <conditionalFormatting sqref="D2:D12">
    <cfRule type="expression" dxfId="20" priority="7">
      <formula>AND(OR(D2 &gt; E2, D2=none), A2 &lt;&gt; none)</formula>
    </cfRule>
  </conditionalFormatting>
  <conditionalFormatting sqref="E2:E12">
    <cfRule type="expression" dxfId="19" priority="6">
      <formula>AND(OR(E2 &lt; D2, E2=none), A2 &lt;&gt; none)</formula>
    </cfRule>
  </conditionalFormatting>
  <conditionalFormatting sqref="B2:B78">
    <cfRule type="expression" dxfId="18" priority="5">
      <formula>AND(B2&lt;&gt;TRUE, B2&lt;&gt;FALSE, A2&lt;&gt;none)</formula>
    </cfRule>
  </conditionalFormatting>
  <conditionalFormatting sqref="C7">
    <cfRule type="expression" dxfId="17" priority="4">
      <formula>AND(OR(C7 &lt; D7, C7 &gt; E7), A7 &lt;&gt; "")</formula>
    </cfRule>
  </conditionalFormatting>
  <conditionalFormatting sqref="C14:C78">
    <cfRule type="expression" dxfId="16" priority="9">
      <formula>AND(OR(C14 &lt; D14, C14 &gt; E14, C14 = none), A13 &lt;&gt; none)</formula>
    </cfRule>
  </conditionalFormatting>
  <conditionalFormatting sqref="D14:D78">
    <cfRule type="expression" dxfId="15" priority="10">
      <formula>AND(OR(D14 &gt; E14, D14=none), A13 &lt;&gt; none)</formula>
    </cfRule>
  </conditionalFormatting>
  <conditionalFormatting sqref="E14:E78">
    <cfRule type="expression" dxfId="14" priority="11">
      <formula>AND(OR(E14 &lt; D14, E14=none), A13 &lt;&gt; none)</formula>
    </cfRule>
  </conditionalFormatting>
  <conditionalFormatting sqref="C13">
    <cfRule type="expression" dxfId="13" priority="3">
      <formula>AND(OR(C13 &lt; D13, C13 &gt; E13, C13 = none), A13 &lt;&gt; none)</formula>
    </cfRule>
  </conditionalFormatting>
  <conditionalFormatting sqref="D13">
    <cfRule type="expression" dxfId="12" priority="2">
      <formula>AND(OR(D13 &gt; E13, D13=none), A13 &lt;&gt; none)</formula>
    </cfRule>
  </conditionalFormatting>
  <conditionalFormatting sqref="E13">
    <cfRule type="expression" dxfId="11" priority="1">
      <formula>AND(OR(E13 &lt; D13, E13=none), A13 &lt;&gt; 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ColWidth="8.83984375" defaultRowHeight="14.4"/>
  <cols>
    <col min="1" max="1" width="18.68359375" bestFit="1" customWidth="1"/>
    <col min="6" max="6" width="13.47265625" bestFit="1" customWidth="1"/>
    <col min="7" max="7" width="10.3125" bestFit="1" customWidth="1"/>
  </cols>
  <sheetData>
    <row r="1" spans="1:13">
      <c r="A1" s="25" t="s">
        <v>21</v>
      </c>
      <c r="B1" s="24"/>
      <c r="C1" t="s">
        <v>28</v>
      </c>
      <c r="F1" s="10" t="s">
        <v>30</v>
      </c>
      <c r="G1" s="2"/>
    </row>
    <row r="2" spans="1:13">
      <c r="A2" s="25" t="s">
        <v>22</v>
      </c>
      <c r="B2" s="24"/>
      <c r="C2" t="s">
        <v>28</v>
      </c>
      <c r="F2" s="11" t="s">
        <v>31</v>
      </c>
    </row>
    <row r="3" spans="1:13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>
      <c r="A4" s="25" t="s">
        <v>24</v>
      </c>
      <c r="B4" s="24"/>
      <c r="C4" s="1" t="s">
        <v>27</v>
      </c>
      <c r="F4" s="11" t="s">
        <v>32</v>
      </c>
    </row>
    <row r="5" spans="1:13">
      <c r="F5" s="11">
        <f>n_replicates*$F$3</f>
        <v>0</v>
      </c>
      <c r="G5" s="1" t="s">
        <v>34</v>
      </c>
      <c r="M5" s="14" t="s">
        <v>38</v>
      </c>
    </row>
    <row r="6" spans="1:13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4"/>
  <sheetViews>
    <sheetView workbookViewId="0">
      <selection activeCell="A15" sqref="A15"/>
    </sheetView>
  </sheetViews>
  <sheetFormatPr defaultColWidth="8.83984375" defaultRowHeight="14.4"/>
  <cols>
    <col min="1" max="1" width="18.47265625" customWidth="1"/>
    <col min="2" max="2" width="10" bestFit="1" customWidth="1"/>
    <col min="3" max="3" width="16.3125" bestFit="1" customWidth="1"/>
  </cols>
  <sheetData>
    <row r="1" spans="1:25">
      <c r="A1" s="20" t="s">
        <v>52</v>
      </c>
    </row>
    <row r="2" spans="1:25">
      <c r="A2" t="s">
        <v>59</v>
      </c>
      <c r="K2" s="16" t="s">
        <v>61</v>
      </c>
    </row>
    <row r="3" spans="1:2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>
      <c r="A4" t="s">
        <v>60</v>
      </c>
    </row>
    <row r="5" spans="1:25">
      <c r="A5" t="s">
        <v>63</v>
      </c>
    </row>
    <row r="7" spans="1:25">
      <c r="A7" s="13" t="s">
        <v>51</v>
      </c>
      <c r="C7" s="16"/>
    </row>
    <row r="8" spans="1:25">
      <c r="A8" s="34" t="s">
        <v>85</v>
      </c>
      <c r="B8" s="35" t="s">
        <v>251</v>
      </c>
      <c r="C8" s="34" t="s">
        <v>252</v>
      </c>
      <c r="D8" s="36"/>
      <c r="E8" s="34"/>
      <c r="F8" s="36"/>
      <c r="G8" s="34"/>
      <c r="H8" s="36"/>
      <c r="I8" s="34"/>
      <c r="J8" s="36"/>
      <c r="K8" s="34"/>
      <c r="L8" s="36"/>
      <c r="M8" s="12"/>
      <c r="N8" t="s">
        <v>250</v>
      </c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>
      <c r="A9" s="40" t="s">
        <v>98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>
      <c r="A10" s="37" t="s">
        <v>95</v>
      </c>
      <c r="B10" s="38" t="s">
        <v>96</v>
      </c>
      <c r="C10" s="37" t="s">
        <v>95</v>
      </c>
      <c r="D10" s="38" t="s">
        <v>12</v>
      </c>
      <c r="E10" s="37" t="s">
        <v>12</v>
      </c>
      <c r="F10" s="38" t="s">
        <v>12</v>
      </c>
      <c r="G10" s="37" t="s">
        <v>12</v>
      </c>
      <c r="H10" s="38" t="s">
        <v>12</v>
      </c>
      <c r="I10" s="37" t="s">
        <v>12</v>
      </c>
      <c r="J10" s="38" t="s">
        <v>12</v>
      </c>
      <c r="K10" s="37" t="s">
        <v>12</v>
      </c>
      <c r="L10" s="38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>
      <c r="A13" s="2"/>
    </row>
    <row r="14" spans="1:25">
      <c r="A14" t="s">
        <v>48</v>
      </c>
      <c r="B14" t="s">
        <v>49</v>
      </c>
    </row>
    <row r="15" spans="1:2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</sheetData>
  <conditionalFormatting sqref="D10:L10">
    <cfRule type="expression" dxfId="10" priority="4">
      <formula>AND(D8&lt;&gt;none, D8&lt;&gt;select_label, OR(D10=none, D10=select_label))</formula>
    </cfRule>
  </conditionalFormatting>
  <conditionalFormatting sqref="D8:L8">
    <cfRule type="expression" dxfId="9" priority="3">
      <formula>AND(OR(D8=none, D8=select_label), AND(D10&lt;&gt;none, D10&lt;&gt;select_label))</formula>
    </cfRule>
  </conditionalFormatting>
  <conditionalFormatting sqref="A8:C8">
    <cfRule type="expression" dxfId="8" priority="2">
      <formula>AND(OR(A8=none, A8=select_label), AND(A10&lt;&gt;none, A10&lt;&gt;select_label))</formula>
    </cfRule>
  </conditionalFormatting>
  <conditionalFormatting sqref="A10:C10">
    <cfRule type="expression" dxfId="7" priority="1">
      <formula>AND(A8&lt;&gt;none, A8&lt;&gt;select_label, OR(A10=none, A10=select_label))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64770</xdr:colOff>
                    <xdr:row>0</xdr:row>
                    <xdr:rowOff>140970</xdr:rowOff>
                  </from>
                  <to>
                    <xdr:col>9</xdr:col>
                    <xdr:colOff>582930</xdr:colOff>
                    <xdr:row>3</xdr:row>
                    <xdr:rowOff>125730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23"/>
  <sheetViews>
    <sheetView workbookViewId="0">
      <selection activeCell="E18" sqref="E18"/>
    </sheetView>
  </sheetViews>
  <sheetFormatPr defaultColWidth="8.83984375" defaultRowHeight="14.4"/>
  <cols>
    <col min="1" max="1" width="14.47265625" customWidth="1"/>
    <col min="2" max="2" width="10.68359375" customWidth="1"/>
    <col min="3" max="3" width="13.15625" bestFit="1" customWidth="1"/>
    <col min="4" max="4" width="11.15625" customWidth="1"/>
    <col min="5" max="5" width="22.47265625" customWidth="1"/>
    <col min="6" max="6" width="43.68359375" bestFit="1" customWidth="1"/>
    <col min="7" max="7" width="10.47265625" customWidth="1"/>
    <col min="8" max="8" width="13.15625" customWidth="1"/>
    <col min="10" max="10" width="7.68359375" customWidth="1"/>
    <col min="11" max="11" width="22.47265625" customWidth="1"/>
  </cols>
  <sheetData>
    <row r="1" spans="1:8">
      <c r="A1" s="16" t="s">
        <v>52</v>
      </c>
    </row>
    <row r="2" spans="1:8">
      <c r="A2" s="29" t="s">
        <v>83</v>
      </c>
    </row>
    <row r="3" spans="1:8">
      <c r="A3" t="s">
        <v>75</v>
      </c>
      <c r="D3" s="16" t="s">
        <v>58</v>
      </c>
    </row>
    <row r="4" spans="1:8">
      <c r="A4" t="s">
        <v>82</v>
      </c>
    </row>
    <row r="6" spans="1:8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>
      <c r="A7" s="33" t="s">
        <v>85</v>
      </c>
      <c r="B7" s="6" t="s">
        <v>70</v>
      </c>
      <c r="C7" s="6" t="s">
        <v>68</v>
      </c>
      <c r="D7" s="6" t="s">
        <v>77</v>
      </c>
      <c r="E7" s="6">
        <v>0.3</v>
      </c>
      <c r="F7" s="6"/>
    </row>
    <row r="8" spans="1:8">
      <c r="A8" s="7" t="s">
        <v>251</v>
      </c>
      <c r="B8" s="7" t="s">
        <v>71</v>
      </c>
      <c r="C8" s="7" t="s">
        <v>69</v>
      </c>
      <c r="D8" s="7" t="s">
        <v>77</v>
      </c>
      <c r="E8" s="7">
        <v>0.1</v>
      </c>
      <c r="F8" s="7"/>
    </row>
    <row r="9" spans="1:8">
      <c r="A9" s="6" t="s">
        <v>251</v>
      </c>
      <c r="B9" s="6" t="s">
        <v>71</v>
      </c>
      <c r="C9" s="6" t="s">
        <v>68</v>
      </c>
      <c r="D9" s="6" t="s">
        <v>77</v>
      </c>
      <c r="E9" s="6">
        <v>0.1</v>
      </c>
      <c r="F9" s="6"/>
      <c r="H9" t="s">
        <v>253</v>
      </c>
    </row>
    <row r="10" spans="1:8">
      <c r="A10" s="7" t="s">
        <v>252</v>
      </c>
      <c r="B10" s="7" t="s">
        <v>70</v>
      </c>
      <c r="C10" s="7" t="s">
        <v>69</v>
      </c>
      <c r="D10" s="7" t="s">
        <v>78</v>
      </c>
      <c r="E10" s="7">
        <v>0.3</v>
      </c>
      <c r="F10" s="7" t="s">
        <v>290</v>
      </c>
    </row>
    <row r="11" spans="1:8">
      <c r="A11" s="6" t="s">
        <v>252</v>
      </c>
      <c r="B11" s="6" t="s">
        <v>70</v>
      </c>
      <c r="C11" s="6" t="s">
        <v>68</v>
      </c>
      <c r="D11" s="6" t="s">
        <v>77</v>
      </c>
      <c r="E11" s="6">
        <v>0.2</v>
      </c>
      <c r="F11" s="6"/>
    </row>
    <row r="12" spans="1:8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  <row r="21" spans="1:1">
      <c r="A21" s="47" t="s">
        <v>52</v>
      </c>
    </row>
    <row r="22" spans="1:1">
      <c r="A22" t="s">
        <v>291</v>
      </c>
    </row>
    <row r="23" spans="1:1">
      <c r="A23" t="s">
        <v>292</v>
      </c>
    </row>
  </sheetData>
  <conditionalFormatting sqref="F7:F16">
    <cfRule type="expression" dxfId="6" priority="2">
      <formula>AND(D7="Custom", F7=none, AND(A7&lt;&gt;select_label, A7&lt;&gt;none))</formula>
    </cfRule>
    <cfRule type="expression" dxfId="5" priority="7">
      <formula>D7&lt;&gt;"Custom"</formula>
    </cfRule>
  </conditionalFormatting>
  <conditionalFormatting sqref="B7:B16">
    <cfRule type="expression" dxfId="4" priority="6">
      <formula>AND(OR(B7=select_label, B7=none), AND(A7&lt;&gt;select_label, A7&lt;&gt;none))</formula>
    </cfRule>
  </conditionalFormatting>
  <conditionalFormatting sqref="C7 C9:C16">
    <cfRule type="expression" dxfId="3" priority="5">
      <formula>AND(OR(C7=select_label, C7=none), AND(A7&lt;&gt;select_label, A7&lt;&gt;none))</formula>
    </cfRule>
  </conditionalFormatting>
  <conditionalFormatting sqref="D7:D16">
    <cfRule type="expression" dxfId="2" priority="4">
      <formula>AND(OR(D7=select_label, D7=none), AND(A7&lt;&gt;select_label, A7&lt;&gt;none))</formula>
    </cfRule>
  </conditionalFormatting>
  <conditionalFormatting sqref="E7:E16">
    <cfRule type="expression" dxfId="1" priority="3">
      <formula>AND(OR(E7=select_label, E7=none), AND(A7&lt;&gt;select_label, A7&lt;&gt;none))</formula>
    </cfRule>
  </conditionalFormatting>
  <conditionalFormatting sqref="C8">
    <cfRule type="expression" dxfId="0" priority="1">
      <formula>AND(OR(C8=select_label, C8=none), AND(A8&lt;&gt;select_label, A8&lt;&gt;none))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defaultColWidth="8.83984375" defaultRowHeight="14.4"/>
  <cols>
    <col min="1" max="1" width="15.47265625" bestFit="1" customWidth="1"/>
    <col min="2" max="2" width="18.15625" bestFit="1" customWidth="1"/>
    <col min="3" max="3" width="8.15625" bestFit="1" customWidth="1"/>
    <col min="4" max="4" width="14.47265625" bestFit="1" customWidth="1"/>
    <col min="5" max="5" width="5.15625" bestFit="1" customWidth="1"/>
    <col min="6" max="6" width="19" bestFit="1" customWidth="1"/>
    <col min="7" max="7" width="13.15625" bestFit="1" customWidth="1"/>
    <col min="8" max="8" width="20.68359375" bestFit="1" customWidth="1"/>
    <col min="10" max="10" width="11.3125" customWidth="1"/>
    <col min="11" max="11" width="18.15625" bestFit="1" customWidth="1"/>
  </cols>
  <sheetData>
    <row r="1" spans="1:11" s="3" customFormat="1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>Population</v>
      </c>
      <c r="I3" s="32" t="s">
        <v>77</v>
      </c>
      <c r="K3" s="32" t="s">
        <v>95</v>
      </c>
    </row>
    <row r="4" spans="1:11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>Prevalence</v>
      </c>
      <c r="I4" s="32" t="s">
        <v>78</v>
      </c>
      <c r="K4" s="32" t="s">
        <v>96</v>
      </c>
    </row>
    <row r="5" spans="1:11">
      <c r="B5" s="32" t="s">
        <v>16</v>
      </c>
      <c r="C5" s="32" t="s">
        <v>20</v>
      </c>
      <c r="D5" s="32" t="s">
        <v>45</v>
      </c>
      <c r="H5" s="32" t="str">
        <v>OnART</v>
      </c>
    </row>
    <row r="6" spans="1:11">
      <c r="H6" s="32" t="str">
        <v/>
      </c>
    </row>
    <row r="7" spans="1:11">
      <c r="H7" s="32" t="str">
        <v/>
      </c>
    </row>
    <row r="8" spans="1:11">
      <c r="H8" s="32" t="str">
        <v/>
      </c>
    </row>
    <row r="9" spans="1:11">
      <c r="H9" s="32" t="str">
        <v/>
      </c>
    </row>
    <row r="10" spans="1:11">
      <c r="H10" s="32" t="str">
        <v/>
      </c>
    </row>
    <row r="11" spans="1:11">
      <c r="H11" s="32" t="str">
        <v/>
      </c>
    </row>
    <row r="12" spans="1:11">
      <c r="H12" s="32" t="str">
        <v/>
      </c>
    </row>
    <row r="13" spans="1:11">
      <c r="H13" s="32" t="str">
        <v/>
      </c>
    </row>
    <row r="14" spans="1:11">
      <c r="H14" s="32" t="str">
        <v/>
      </c>
    </row>
    <row r="26" spans="2:2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97222-A75E-F943-A015-85AFB80095AB}">
  <dimension ref="A1:S1007"/>
  <sheetViews>
    <sheetView tabSelected="1" topLeftCell="D729" zoomScale="130" zoomScaleNormal="130" workbookViewId="0">
      <selection activeCell="I742" sqref="I742"/>
    </sheetView>
  </sheetViews>
  <sheetFormatPr defaultColWidth="10.83984375" defaultRowHeight="14.4"/>
  <cols>
    <col min="1" max="1" width="11.83984375" style="42" bestFit="1" customWidth="1"/>
    <col min="2" max="16384" width="10.83984375" style="42"/>
  </cols>
  <sheetData>
    <row r="1" spans="1:19">
      <c r="A1" s="41" t="s">
        <v>256</v>
      </c>
      <c r="B1" s="41" t="s">
        <v>85</v>
      </c>
      <c r="G1" s="43" t="s">
        <v>262</v>
      </c>
    </row>
    <row r="3" spans="1:19">
      <c r="A3" s="43" t="s">
        <v>257</v>
      </c>
      <c r="N3" s="42" t="s">
        <v>286</v>
      </c>
    </row>
    <row r="4" spans="1:19">
      <c r="A4" s="44" t="s">
        <v>86</v>
      </c>
      <c r="B4" s="44" t="s">
        <v>263</v>
      </c>
      <c r="C4" s="44" t="s">
        <v>264</v>
      </c>
      <c r="D4" s="44" t="s">
        <v>265</v>
      </c>
      <c r="E4" s="44"/>
      <c r="F4" s="44"/>
      <c r="G4" s="44"/>
      <c r="H4" s="44"/>
      <c r="I4" s="44"/>
      <c r="J4" s="44"/>
      <c r="K4" s="44"/>
      <c r="L4" s="44"/>
    </row>
    <row r="5" spans="1:19">
      <c r="A5" s="43" t="s">
        <v>258</v>
      </c>
    </row>
    <row r="6" spans="1:19">
      <c r="A6" s="46" t="s">
        <v>259</v>
      </c>
      <c r="B6" s="45" t="s">
        <v>260</v>
      </c>
      <c r="C6" s="45" t="s">
        <v>261</v>
      </c>
      <c r="D6" s="45"/>
      <c r="E6" s="45"/>
      <c r="F6" s="45"/>
      <c r="G6" s="45"/>
      <c r="H6" s="45"/>
      <c r="I6" s="45"/>
      <c r="J6" s="45"/>
      <c r="K6" s="45"/>
      <c r="L6" s="45"/>
    </row>
    <row r="7" spans="1:19">
      <c r="O7" s="42" t="s">
        <v>298</v>
      </c>
      <c r="R7" s="42" t="s">
        <v>297</v>
      </c>
    </row>
    <row r="8" spans="1:19">
      <c r="A8" s="41" t="s">
        <v>86</v>
      </c>
      <c r="B8" s="41" t="s">
        <v>263</v>
      </c>
      <c r="C8" s="41" t="s">
        <v>264</v>
      </c>
      <c r="D8" s="41" t="s">
        <v>265</v>
      </c>
      <c r="E8" s="41" t="s">
        <v>85</v>
      </c>
      <c r="F8" s="41" t="s">
        <v>259</v>
      </c>
      <c r="G8" s="41" t="s">
        <v>260</v>
      </c>
      <c r="H8" s="41" t="s">
        <v>261</v>
      </c>
      <c r="J8" s="43" t="s">
        <v>266</v>
      </c>
      <c r="P8" s="42">
        <v>2010</v>
      </c>
      <c r="Q8" s="42">
        <v>2015</v>
      </c>
    </row>
    <row r="9" spans="1:19">
      <c r="A9" s="45">
        <v>2010</v>
      </c>
      <c r="B9" s="45" t="s">
        <v>102</v>
      </c>
      <c r="C9" s="45" t="s">
        <v>43</v>
      </c>
      <c r="D9" s="45" t="s">
        <v>267</v>
      </c>
      <c r="E9" s="45">
        <v>136134</v>
      </c>
      <c r="F9" s="45"/>
      <c r="G9" s="45"/>
      <c r="H9" s="45">
        <v>17697</v>
      </c>
      <c r="N9" s="42" t="s">
        <v>267</v>
      </c>
      <c r="O9" s="48">
        <v>0.13</v>
      </c>
      <c r="P9" s="42">
        <f>INT(E9*O9)</f>
        <v>17697</v>
      </c>
      <c r="R9" s="48">
        <v>0.17</v>
      </c>
      <c r="S9" s="42" t="s">
        <v>267</v>
      </c>
    </row>
    <row r="10" spans="1:19">
      <c r="A10" s="44">
        <v>2010</v>
      </c>
      <c r="B10" s="44" t="s">
        <v>102</v>
      </c>
      <c r="C10" s="44" t="s">
        <v>43</v>
      </c>
      <c r="D10" s="44" t="s">
        <v>268</v>
      </c>
      <c r="E10" s="44">
        <v>101021</v>
      </c>
      <c r="F10" s="44"/>
      <c r="G10" s="44"/>
      <c r="H10" s="44">
        <v>11112</v>
      </c>
      <c r="N10" s="42" t="s">
        <v>268</v>
      </c>
      <c r="O10" s="48">
        <v>0.11</v>
      </c>
      <c r="P10" s="42">
        <f t="shared" ref="P10:P73" si="0">INT(E10*O10)</f>
        <v>11112</v>
      </c>
      <c r="R10" s="48">
        <v>0.14000000000000001</v>
      </c>
      <c r="S10" s="42" t="s">
        <v>268</v>
      </c>
    </row>
    <row r="11" spans="1:19">
      <c r="A11" s="45">
        <v>2010</v>
      </c>
      <c r="B11" s="45" t="s">
        <v>102</v>
      </c>
      <c r="C11" s="45" t="s">
        <v>43</v>
      </c>
      <c r="D11" s="45" t="s">
        <v>269</v>
      </c>
      <c r="E11" s="45">
        <v>85265</v>
      </c>
      <c r="F11" s="45"/>
      <c r="G11" s="45"/>
      <c r="H11" s="45">
        <v>9379</v>
      </c>
      <c r="N11" s="42" t="s">
        <v>269</v>
      </c>
      <c r="O11" s="48">
        <v>0.11</v>
      </c>
      <c r="P11" s="42">
        <f t="shared" si="0"/>
        <v>9379</v>
      </c>
      <c r="R11" s="48">
        <v>0.14000000000000001</v>
      </c>
      <c r="S11" s="42" t="s">
        <v>269</v>
      </c>
    </row>
    <row r="12" spans="1:19">
      <c r="A12" s="44">
        <v>2010</v>
      </c>
      <c r="B12" s="44" t="s">
        <v>102</v>
      </c>
      <c r="C12" s="44" t="s">
        <v>43</v>
      </c>
      <c r="D12" s="44" t="s">
        <v>254</v>
      </c>
      <c r="E12" s="44">
        <v>77637</v>
      </c>
      <c r="F12" s="44"/>
      <c r="G12" s="44"/>
      <c r="H12" s="44">
        <v>8540</v>
      </c>
      <c r="N12" s="42" t="s">
        <v>254</v>
      </c>
      <c r="O12" s="48">
        <v>0.11</v>
      </c>
      <c r="P12" s="42">
        <f t="shared" si="0"/>
        <v>8540</v>
      </c>
      <c r="R12" s="48">
        <v>0.14000000000000001</v>
      </c>
      <c r="S12" s="42" t="s">
        <v>254</v>
      </c>
    </row>
    <row r="13" spans="1:19">
      <c r="A13" s="45">
        <v>2010</v>
      </c>
      <c r="B13" s="45" t="s">
        <v>102</v>
      </c>
      <c r="C13" s="45" t="s">
        <v>43</v>
      </c>
      <c r="D13" s="45" t="s">
        <v>270</v>
      </c>
      <c r="E13" s="45">
        <v>57977</v>
      </c>
      <c r="F13" s="45"/>
      <c r="G13" s="45"/>
      <c r="H13" s="45">
        <v>6377</v>
      </c>
      <c r="N13" s="42" t="s">
        <v>270</v>
      </c>
      <c r="O13" s="48">
        <v>0.11</v>
      </c>
      <c r="P13" s="42">
        <f t="shared" si="0"/>
        <v>6377</v>
      </c>
      <c r="R13" s="48">
        <v>0.14000000000000001</v>
      </c>
      <c r="S13" s="42" t="s">
        <v>270</v>
      </c>
    </row>
    <row r="14" spans="1:19">
      <c r="A14" s="44">
        <v>2010</v>
      </c>
      <c r="B14" s="44" t="s">
        <v>102</v>
      </c>
      <c r="C14" s="44" t="s">
        <v>43</v>
      </c>
      <c r="D14" s="44" t="s">
        <v>271</v>
      </c>
      <c r="E14" s="44">
        <v>50537</v>
      </c>
      <c r="F14" s="44"/>
      <c r="G14" s="44"/>
      <c r="H14" s="44">
        <v>5559</v>
      </c>
      <c r="N14" s="42" t="s">
        <v>271</v>
      </c>
      <c r="O14" s="48">
        <v>0.11</v>
      </c>
      <c r="P14" s="42">
        <f t="shared" si="0"/>
        <v>5559</v>
      </c>
      <c r="R14" s="48">
        <v>0.14000000000000001</v>
      </c>
      <c r="S14" s="42" t="s">
        <v>271</v>
      </c>
    </row>
    <row r="15" spans="1:19">
      <c r="A15" s="45">
        <v>2010</v>
      </c>
      <c r="B15" s="45" t="s">
        <v>102</v>
      </c>
      <c r="C15" s="45" t="s">
        <v>43</v>
      </c>
      <c r="D15" s="45" t="s">
        <v>272</v>
      </c>
      <c r="E15" s="45">
        <v>35507</v>
      </c>
      <c r="F15" s="45"/>
      <c r="G15" s="45"/>
      <c r="H15" s="45">
        <v>3905</v>
      </c>
      <c r="N15" s="42" t="s">
        <v>272</v>
      </c>
      <c r="O15" s="48">
        <v>0.11</v>
      </c>
      <c r="P15" s="42">
        <f t="shared" si="0"/>
        <v>3905</v>
      </c>
      <c r="R15" s="48">
        <v>0.14000000000000001</v>
      </c>
      <c r="S15" s="42" t="s">
        <v>272</v>
      </c>
    </row>
    <row r="16" spans="1:19">
      <c r="A16" s="44">
        <v>2010</v>
      </c>
      <c r="B16" s="44" t="s">
        <v>102</v>
      </c>
      <c r="C16" s="44" t="s">
        <v>43</v>
      </c>
      <c r="D16" s="44" t="s">
        <v>273</v>
      </c>
      <c r="E16" s="44">
        <v>29441</v>
      </c>
      <c r="F16" s="44"/>
      <c r="G16" s="44"/>
      <c r="H16" s="44">
        <v>3238</v>
      </c>
      <c r="N16" s="42" t="s">
        <v>273</v>
      </c>
      <c r="O16" s="48">
        <v>0.11</v>
      </c>
      <c r="P16" s="42">
        <f t="shared" si="0"/>
        <v>3238</v>
      </c>
      <c r="R16" s="48">
        <v>0.14000000000000001</v>
      </c>
      <c r="S16" s="42" t="s">
        <v>273</v>
      </c>
    </row>
    <row r="17" spans="1:19">
      <c r="A17" s="45">
        <v>2010</v>
      </c>
      <c r="B17" s="45" t="s">
        <v>102</v>
      </c>
      <c r="C17" s="45" t="s">
        <v>43</v>
      </c>
      <c r="D17" s="45" t="s">
        <v>274</v>
      </c>
      <c r="E17" s="45">
        <v>19716</v>
      </c>
      <c r="F17" s="45"/>
      <c r="G17" s="45"/>
      <c r="H17" s="45">
        <v>2168</v>
      </c>
      <c r="N17" s="42" t="s">
        <v>274</v>
      </c>
      <c r="O17" s="48">
        <v>0.11</v>
      </c>
      <c r="P17" s="42">
        <f t="shared" si="0"/>
        <v>2168</v>
      </c>
      <c r="R17" s="48">
        <v>0.14000000000000001</v>
      </c>
      <c r="S17" s="42" t="s">
        <v>274</v>
      </c>
    </row>
    <row r="18" spans="1:19">
      <c r="A18" s="44">
        <v>2010</v>
      </c>
      <c r="B18" s="44" t="s">
        <v>102</v>
      </c>
      <c r="C18" s="44" t="s">
        <v>43</v>
      </c>
      <c r="D18" s="44" t="s">
        <v>275</v>
      </c>
      <c r="E18" s="44">
        <v>18008</v>
      </c>
      <c r="F18" s="44"/>
      <c r="G18" s="44"/>
      <c r="H18" s="44">
        <v>1980</v>
      </c>
      <c r="N18" s="42" t="s">
        <v>275</v>
      </c>
      <c r="O18" s="48">
        <v>0.11</v>
      </c>
      <c r="P18" s="42">
        <f t="shared" si="0"/>
        <v>1980</v>
      </c>
      <c r="R18" s="48">
        <v>0.14000000000000001</v>
      </c>
      <c r="S18" s="42" t="s">
        <v>275</v>
      </c>
    </row>
    <row r="19" spans="1:19">
      <c r="A19" s="45">
        <v>2010</v>
      </c>
      <c r="B19" s="45" t="s">
        <v>102</v>
      </c>
      <c r="C19" s="45" t="s">
        <v>43</v>
      </c>
      <c r="D19" s="45" t="s">
        <v>276</v>
      </c>
      <c r="E19" s="45">
        <v>12924</v>
      </c>
      <c r="F19" s="45"/>
      <c r="G19" s="45"/>
      <c r="H19" s="45">
        <v>1421</v>
      </c>
      <c r="N19" s="42" t="s">
        <v>276</v>
      </c>
      <c r="O19" s="48">
        <v>0.11</v>
      </c>
      <c r="P19" s="42">
        <f t="shared" si="0"/>
        <v>1421</v>
      </c>
      <c r="R19" s="48">
        <v>0.14000000000000001</v>
      </c>
      <c r="S19" s="42" t="s">
        <v>276</v>
      </c>
    </row>
    <row r="20" spans="1:19">
      <c r="A20" s="44">
        <v>2010</v>
      </c>
      <c r="B20" s="44" t="s">
        <v>102</v>
      </c>
      <c r="C20" s="44" t="s">
        <v>43</v>
      </c>
      <c r="D20" s="44" t="s">
        <v>277</v>
      </c>
      <c r="E20" s="44">
        <v>9741</v>
      </c>
      <c r="F20" s="44"/>
      <c r="G20" s="44"/>
      <c r="H20" s="44">
        <v>1071</v>
      </c>
      <c r="N20" s="42" t="s">
        <v>277</v>
      </c>
      <c r="O20" s="48">
        <v>0.11</v>
      </c>
      <c r="P20" s="42">
        <f t="shared" si="0"/>
        <v>1071</v>
      </c>
      <c r="R20" s="48">
        <v>0.14000000000000001</v>
      </c>
      <c r="S20" s="42" t="s">
        <v>277</v>
      </c>
    </row>
    <row r="21" spans="1:19">
      <c r="A21" s="45">
        <v>2010</v>
      </c>
      <c r="B21" s="45" t="s">
        <v>102</v>
      </c>
      <c r="C21" s="45" t="s">
        <v>43</v>
      </c>
      <c r="D21" s="45" t="s">
        <v>278</v>
      </c>
      <c r="E21" s="45">
        <v>8572</v>
      </c>
      <c r="F21" s="45"/>
      <c r="G21" s="45"/>
      <c r="H21" s="45">
        <v>942</v>
      </c>
      <c r="N21" s="42" t="s">
        <v>278</v>
      </c>
      <c r="O21" s="48">
        <v>0.11</v>
      </c>
      <c r="P21" s="42">
        <f t="shared" si="0"/>
        <v>942</v>
      </c>
      <c r="R21" s="48">
        <v>0.14000000000000001</v>
      </c>
      <c r="S21" s="42" t="s">
        <v>278</v>
      </c>
    </row>
    <row r="22" spans="1:19">
      <c r="A22" s="44">
        <v>2010</v>
      </c>
      <c r="B22" s="44" t="s">
        <v>102</v>
      </c>
      <c r="C22" s="44" t="s">
        <v>43</v>
      </c>
      <c r="D22" s="44" t="s">
        <v>279</v>
      </c>
      <c r="E22" s="44">
        <v>6238</v>
      </c>
      <c r="F22" s="44"/>
      <c r="G22" s="44"/>
      <c r="H22" s="44">
        <v>810</v>
      </c>
      <c r="N22" s="42" t="s">
        <v>279</v>
      </c>
      <c r="O22" s="48">
        <v>0.13</v>
      </c>
      <c r="P22" s="42">
        <f t="shared" si="0"/>
        <v>810</v>
      </c>
      <c r="R22" s="48">
        <v>0.14000000000000001</v>
      </c>
      <c r="S22" s="42" t="s">
        <v>279</v>
      </c>
    </row>
    <row r="23" spans="1:19">
      <c r="A23" s="45">
        <v>2010</v>
      </c>
      <c r="B23" s="45" t="s">
        <v>102</v>
      </c>
      <c r="C23" s="45" t="s">
        <v>43</v>
      </c>
      <c r="D23" s="45" t="s">
        <v>280</v>
      </c>
      <c r="E23" s="45">
        <v>4386</v>
      </c>
      <c r="F23" s="45"/>
      <c r="G23" s="45"/>
      <c r="H23" s="45">
        <v>570</v>
      </c>
      <c r="N23" s="42" t="s">
        <v>280</v>
      </c>
      <c r="O23" s="48">
        <v>0.13</v>
      </c>
      <c r="P23" s="42">
        <f t="shared" si="0"/>
        <v>570</v>
      </c>
      <c r="R23" s="48">
        <v>0.14000000000000001</v>
      </c>
      <c r="S23" s="42" t="s">
        <v>280</v>
      </c>
    </row>
    <row r="24" spans="1:19">
      <c r="A24" s="44">
        <v>2010</v>
      </c>
      <c r="B24" s="44" t="s">
        <v>102</v>
      </c>
      <c r="C24" s="44" t="s">
        <v>43</v>
      </c>
      <c r="D24" s="44" t="s">
        <v>281</v>
      </c>
      <c r="E24" s="44">
        <v>2982</v>
      </c>
      <c r="F24" s="44"/>
      <c r="G24" s="44"/>
      <c r="H24" s="44">
        <v>387</v>
      </c>
      <c r="N24" s="42" t="s">
        <v>281</v>
      </c>
      <c r="O24" s="48">
        <v>0.13</v>
      </c>
      <c r="P24" s="42">
        <f t="shared" si="0"/>
        <v>387</v>
      </c>
      <c r="R24" s="48">
        <v>0.17</v>
      </c>
      <c r="S24" s="42" t="s">
        <v>281</v>
      </c>
    </row>
    <row r="25" spans="1:19">
      <c r="A25" s="45">
        <v>2010</v>
      </c>
      <c r="B25" s="45" t="s">
        <v>102</v>
      </c>
      <c r="C25" s="45" t="s">
        <v>43</v>
      </c>
      <c r="D25" s="45" t="s">
        <v>282</v>
      </c>
      <c r="E25" s="45">
        <v>1146</v>
      </c>
      <c r="F25" s="45"/>
      <c r="G25" s="45"/>
      <c r="H25" s="45">
        <v>148</v>
      </c>
      <c r="N25" s="42" t="s">
        <v>282</v>
      </c>
      <c r="O25" s="48">
        <v>0.13</v>
      </c>
      <c r="P25" s="42">
        <f t="shared" si="0"/>
        <v>148</v>
      </c>
      <c r="R25" s="48">
        <v>0.17</v>
      </c>
      <c r="S25" s="42" t="s">
        <v>282</v>
      </c>
    </row>
    <row r="26" spans="1:19">
      <c r="A26" s="44">
        <v>2010</v>
      </c>
      <c r="B26" s="44" t="s">
        <v>102</v>
      </c>
      <c r="C26" s="44" t="s">
        <v>43</v>
      </c>
      <c r="D26" s="44" t="s">
        <v>283</v>
      </c>
      <c r="E26" s="44">
        <v>779</v>
      </c>
      <c r="F26" s="44"/>
      <c r="G26" s="44"/>
      <c r="H26" s="44">
        <v>101</v>
      </c>
      <c r="N26" s="42" t="s">
        <v>283</v>
      </c>
      <c r="O26" s="48">
        <v>0.13</v>
      </c>
      <c r="P26" s="42">
        <f t="shared" si="0"/>
        <v>101</v>
      </c>
    </row>
    <row r="27" spans="1:19">
      <c r="A27" s="45">
        <v>2010</v>
      </c>
      <c r="B27" s="45" t="s">
        <v>102</v>
      </c>
      <c r="C27" s="45" t="s">
        <v>43</v>
      </c>
      <c r="D27" s="45" t="s">
        <v>284</v>
      </c>
      <c r="E27" s="45">
        <v>635</v>
      </c>
      <c r="F27" s="45"/>
      <c r="G27" s="45"/>
      <c r="H27" s="45">
        <v>82</v>
      </c>
      <c r="N27" s="42" t="s">
        <v>284</v>
      </c>
      <c r="O27" s="48">
        <v>0.13</v>
      </c>
      <c r="P27" s="42">
        <f t="shared" si="0"/>
        <v>82</v>
      </c>
    </row>
    <row r="28" spans="1:19">
      <c r="A28" s="45">
        <v>2010</v>
      </c>
      <c r="B28" s="45" t="s">
        <v>103</v>
      </c>
      <c r="C28" s="45" t="s">
        <v>43</v>
      </c>
      <c r="D28" s="45" t="s">
        <v>267</v>
      </c>
      <c r="E28" s="45">
        <v>172279</v>
      </c>
      <c r="F28" s="45"/>
      <c r="G28" s="45"/>
      <c r="H28" s="45">
        <v>22396</v>
      </c>
      <c r="P28" s="42">
        <f>INT(E28*O28)</f>
        <v>0</v>
      </c>
    </row>
    <row r="29" spans="1:19">
      <c r="A29" s="44">
        <v>2010</v>
      </c>
      <c r="B29" s="44" t="s">
        <v>103</v>
      </c>
      <c r="C29" s="44" t="s">
        <v>43</v>
      </c>
      <c r="D29" s="44" t="s">
        <v>268</v>
      </c>
      <c r="E29" s="44">
        <v>132610</v>
      </c>
      <c r="F29" s="44"/>
      <c r="G29" s="44"/>
      <c r="H29" s="44">
        <v>14587</v>
      </c>
      <c r="N29" s="42" t="s">
        <v>267</v>
      </c>
      <c r="O29" s="48">
        <v>0.13</v>
      </c>
      <c r="P29" s="42">
        <f>INT(E29*O29)</f>
        <v>17239</v>
      </c>
    </row>
    <row r="30" spans="1:19">
      <c r="A30" s="45">
        <v>2010</v>
      </c>
      <c r="B30" s="45" t="s">
        <v>103</v>
      </c>
      <c r="C30" s="45" t="s">
        <v>43</v>
      </c>
      <c r="D30" s="45" t="s">
        <v>269</v>
      </c>
      <c r="E30" s="45">
        <v>130723</v>
      </c>
      <c r="F30" s="45"/>
      <c r="G30" s="45"/>
      <c r="H30" s="45">
        <v>14379</v>
      </c>
      <c r="N30" s="42" t="s">
        <v>268</v>
      </c>
      <c r="O30" s="48">
        <v>0.11</v>
      </c>
      <c r="P30" s="42">
        <f>INT(E30*O30)</f>
        <v>14379</v>
      </c>
    </row>
    <row r="31" spans="1:19">
      <c r="A31" s="44">
        <v>2010</v>
      </c>
      <c r="B31" s="44" t="s">
        <v>103</v>
      </c>
      <c r="C31" s="44" t="s">
        <v>43</v>
      </c>
      <c r="D31" s="44" t="s">
        <v>254</v>
      </c>
      <c r="E31" s="44">
        <v>128394</v>
      </c>
      <c r="F31" s="44"/>
      <c r="G31" s="44"/>
      <c r="H31" s="44">
        <v>14123</v>
      </c>
      <c r="N31" s="42" t="s">
        <v>269</v>
      </c>
      <c r="O31" s="48">
        <v>0.11</v>
      </c>
      <c r="P31" s="42">
        <f>INT(E31*O31)</f>
        <v>14123</v>
      </c>
    </row>
    <row r="32" spans="1:19">
      <c r="A32" s="45">
        <v>2010</v>
      </c>
      <c r="B32" s="45" t="s">
        <v>103</v>
      </c>
      <c r="C32" s="45" t="s">
        <v>43</v>
      </c>
      <c r="D32" s="45" t="s">
        <v>270</v>
      </c>
      <c r="E32" s="45">
        <v>97201</v>
      </c>
      <c r="F32" s="45"/>
      <c r="G32" s="45"/>
      <c r="H32" s="45">
        <v>10692</v>
      </c>
      <c r="N32" s="42" t="s">
        <v>254</v>
      </c>
      <c r="O32" s="48">
        <v>0.11</v>
      </c>
      <c r="P32" s="42">
        <f>INT(E32*O32)</f>
        <v>10692</v>
      </c>
    </row>
    <row r="33" spans="1:16">
      <c r="A33" s="44">
        <v>2010</v>
      </c>
      <c r="B33" s="44" t="s">
        <v>103</v>
      </c>
      <c r="C33" s="44" t="s">
        <v>43</v>
      </c>
      <c r="D33" s="44" t="s">
        <v>271</v>
      </c>
      <c r="E33" s="44">
        <v>87912</v>
      </c>
      <c r="F33" s="44"/>
      <c r="G33" s="44"/>
      <c r="H33" s="44">
        <v>9670</v>
      </c>
      <c r="N33" s="42" t="s">
        <v>270</v>
      </c>
      <c r="O33" s="48">
        <v>0.11</v>
      </c>
      <c r="P33" s="42">
        <f>INT(E33*O33)</f>
        <v>9670</v>
      </c>
    </row>
    <row r="34" spans="1:16">
      <c r="A34" s="45">
        <v>2010</v>
      </c>
      <c r="B34" s="45" t="s">
        <v>103</v>
      </c>
      <c r="C34" s="45" t="s">
        <v>43</v>
      </c>
      <c r="D34" s="45" t="s">
        <v>272</v>
      </c>
      <c r="E34" s="45">
        <v>59515</v>
      </c>
      <c r="F34" s="45"/>
      <c r="G34" s="45"/>
      <c r="H34" s="45">
        <v>6546</v>
      </c>
      <c r="N34" s="42" t="s">
        <v>271</v>
      </c>
      <c r="O34" s="48">
        <v>0.11</v>
      </c>
      <c r="P34" s="42">
        <f>INT(E34*O34)</f>
        <v>6546</v>
      </c>
    </row>
    <row r="35" spans="1:16">
      <c r="A35" s="44">
        <v>2010</v>
      </c>
      <c r="B35" s="44" t="s">
        <v>103</v>
      </c>
      <c r="C35" s="44" t="s">
        <v>43</v>
      </c>
      <c r="D35" s="44" t="s">
        <v>273</v>
      </c>
      <c r="E35" s="44">
        <v>48999</v>
      </c>
      <c r="F35" s="44"/>
      <c r="G35" s="44"/>
      <c r="H35" s="44">
        <v>5389</v>
      </c>
      <c r="N35" s="42" t="s">
        <v>272</v>
      </c>
      <c r="O35" s="48">
        <v>0.11</v>
      </c>
      <c r="P35" s="42">
        <f>INT(E35*O35)</f>
        <v>5389</v>
      </c>
    </row>
    <row r="36" spans="1:16">
      <c r="A36" s="45">
        <v>2010</v>
      </c>
      <c r="B36" s="45" t="s">
        <v>103</v>
      </c>
      <c r="C36" s="45" t="s">
        <v>43</v>
      </c>
      <c r="D36" s="45" t="s">
        <v>274</v>
      </c>
      <c r="E36" s="45">
        <v>32469</v>
      </c>
      <c r="F36" s="45"/>
      <c r="G36" s="45"/>
      <c r="H36" s="45">
        <v>3571</v>
      </c>
      <c r="N36" s="42" t="s">
        <v>273</v>
      </c>
      <c r="O36" s="48">
        <v>0.11</v>
      </c>
      <c r="P36" s="42">
        <f>INT(E36*O36)</f>
        <v>3571</v>
      </c>
    </row>
    <row r="37" spans="1:16">
      <c r="A37" s="44">
        <v>2010</v>
      </c>
      <c r="B37" s="44" t="s">
        <v>103</v>
      </c>
      <c r="C37" s="44" t="s">
        <v>43</v>
      </c>
      <c r="D37" s="44" t="s">
        <v>275</v>
      </c>
      <c r="E37" s="44">
        <v>30682</v>
      </c>
      <c r="F37" s="44"/>
      <c r="G37" s="44"/>
      <c r="H37" s="44">
        <v>3375</v>
      </c>
      <c r="N37" s="42" t="s">
        <v>274</v>
      </c>
      <c r="O37" s="48">
        <v>0.11</v>
      </c>
      <c r="P37" s="42">
        <f>INT(E37*O37)</f>
        <v>3375</v>
      </c>
    </row>
    <row r="38" spans="1:16">
      <c r="A38" s="45">
        <v>2010</v>
      </c>
      <c r="B38" s="45" t="s">
        <v>103</v>
      </c>
      <c r="C38" s="45" t="s">
        <v>43</v>
      </c>
      <c r="D38" s="45" t="s">
        <v>276</v>
      </c>
      <c r="E38" s="45">
        <v>22104</v>
      </c>
      <c r="F38" s="45"/>
      <c r="G38" s="45"/>
      <c r="H38" s="45">
        <v>2431</v>
      </c>
      <c r="N38" s="42" t="s">
        <v>275</v>
      </c>
      <c r="O38" s="48">
        <v>0.11</v>
      </c>
      <c r="P38" s="42">
        <f>INT(E38*O38)</f>
        <v>2431</v>
      </c>
    </row>
    <row r="39" spans="1:16">
      <c r="A39" s="44">
        <v>2010</v>
      </c>
      <c r="B39" s="44" t="s">
        <v>103</v>
      </c>
      <c r="C39" s="44" t="s">
        <v>43</v>
      </c>
      <c r="D39" s="44" t="s">
        <v>277</v>
      </c>
      <c r="E39" s="44">
        <v>16012</v>
      </c>
      <c r="F39" s="44"/>
      <c r="G39" s="44"/>
      <c r="H39" s="44">
        <v>1761</v>
      </c>
      <c r="N39" s="42" t="s">
        <v>276</v>
      </c>
      <c r="O39" s="48">
        <v>0.11</v>
      </c>
      <c r="P39" s="42">
        <f>INT(E39*O39)</f>
        <v>1761</v>
      </c>
    </row>
    <row r="40" spans="1:16">
      <c r="A40" s="45">
        <v>2010</v>
      </c>
      <c r="B40" s="45" t="s">
        <v>103</v>
      </c>
      <c r="C40" s="45" t="s">
        <v>43</v>
      </c>
      <c r="D40" s="45" t="s">
        <v>278</v>
      </c>
      <c r="E40" s="45">
        <v>11900</v>
      </c>
      <c r="F40" s="45"/>
      <c r="G40" s="45"/>
      <c r="H40" s="45">
        <v>1309</v>
      </c>
      <c r="N40" s="42" t="s">
        <v>277</v>
      </c>
      <c r="O40" s="48">
        <v>0.11</v>
      </c>
      <c r="P40" s="42">
        <f>INT(E40*O40)</f>
        <v>1309</v>
      </c>
    </row>
    <row r="41" spans="1:16">
      <c r="A41" s="44">
        <v>2010</v>
      </c>
      <c r="B41" s="44" t="s">
        <v>103</v>
      </c>
      <c r="C41" s="44" t="s">
        <v>43</v>
      </c>
      <c r="D41" s="44" t="s">
        <v>279</v>
      </c>
      <c r="E41" s="44">
        <v>7997</v>
      </c>
      <c r="F41" s="44"/>
      <c r="G41" s="44"/>
      <c r="H41" s="44">
        <v>1039</v>
      </c>
      <c r="N41" s="42" t="s">
        <v>278</v>
      </c>
      <c r="O41" s="48">
        <v>0.11</v>
      </c>
      <c r="P41" s="42">
        <f>INT(E41*O41)</f>
        <v>879</v>
      </c>
    </row>
    <row r="42" spans="1:16">
      <c r="A42" s="45">
        <v>2010</v>
      </c>
      <c r="B42" s="45" t="s">
        <v>103</v>
      </c>
      <c r="C42" s="45" t="s">
        <v>43</v>
      </c>
      <c r="D42" s="45" t="s">
        <v>280</v>
      </c>
      <c r="E42" s="45">
        <v>5337</v>
      </c>
      <c r="F42" s="45"/>
      <c r="G42" s="45"/>
      <c r="H42" s="45">
        <v>693</v>
      </c>
      <c r="N42" s="42" t="s">
        <v>279</v>
      </c>
      <c r="O42" s="48">
        <v>0.13</v>
      </c>
      <c r="P42" s="42">
        <f>INT(E42*O42)</f>
        <v>693</v>
      </c>
    </row>
    <row r="43" spans="1:16">
      <c r="A43" s="44">
        <v>2010</v>
      </c>
      <c r="B43" s="44" t="s">
        <v>103</v>
      </c>
      <c r="C43" s="44" t="s">
        <v>43</v>
      </c>
      <c r="D43" s="44" t="s">
        <v>281</v>
      </c>
      <c r="E43" s="44">
        <v>3415</v>
      </c>
      <c r="F43" s="44"/>
      <c r="G43" s="44"/>
      <c r="H43" s="44">
        <v>443</v>
      </c>
      <c r="N43" s="42" t="s">
        <v>280</v>
      </c>
      <c r="O43" s="48">
        <v>0.13</v>
      </c>
      <c r="P43" s="42">
        <f>INT(E43*O43)</f>
        <v>443</v>
      </c>
    </row>
    <row r="44" spans="1:16">
      <c r="A44" s="45">
        <v>2010</v>
      </c>
      <c r="B44" s="45" t="s">
        <v>103</v>
      </c>
      <c r="C44" s="45" t="s">
        <v>43</v>
      </c>
      <c r="D44" s="45" t="s">
        <v>282</v>
      </c>
      <c r="E44" s="45">
        <v>1468</v>
      </c>
      <c r="F44" s="45"/>
      <c r="G44" s="45"/>
      <c r="H44" s="45">
        <v>190</v>
      </c>
      <c r="N44" s="42" t="s">
        <v>281</v>
      </c>
      <c r="O44" s="48">
        <v>0.13</v>
      </c>
      <c r="P44" s="42">
        <f>INT(E44*O44)</f>
        <v>190</v>
      </c>
    </row>
    <row r="45" spans="1:16">
      <c r="A45" s="44">
        <v>2010</v>
      </c>
      <c r="B45" s="44" t="s">
        <v>103</v>
      </c>
      <c r="C45" s="44" t="s">
        <v>43</v>
      </c>
      <c r="D45" s="44" t="s">
        <v>283</v>
      </c>
      <c r="E45" s="44">
        <v>831</v>
      </c>
      <c r="F45" s="44"/>
      <c r="G45" s="44"/>
      <c r="H45" s="44">
        <v>108</v>
      </c>
      <c r="N45" s="42" t="s">
        <v>282</v>
      </c>
      <c r="O45" s="48">
        <v>0.13</v>
      </c>
      <c r="P45" s="42">
        <f>INT(E45*O45)</f>
        <v>108</v>
      </c>
    </row>
    <row r="46" spans="1:16">
      <c r="A46" s="45">
        <v>2010</v>
      </c>
      <c r="B46" s="45" t="s">
        <v>103</v>
      </c>
      <c r="C46" s="45" t="s">
        <v>43</v>
      </c>
      <c r="D46" s="45" t="s">
        <v>284</v>
      </c>
      <c r="E46" s="45">
        <v>582</v>
      </c>
      <c r="F46" s="45"/>
      <c r="G46" s="45"/>
      <c r="H46" s="45">
        <v>75</v>
      </c>
      <c r="N46" s="42" t="s">
        <v>283</v>
      </c>
      <c r="O46" s="48">
        <v>0.13</v>
      </c>
      <c r="P46" s="42">
        <f>INT(E46*O46)</f>
        <v>75</v>
      </c>
    </row>
    <row r="47" spans="1:16">
      <c r="A47" s="45">
        <v>2010</v>
      </c>
      <c r="B47" s="45" t="s">
        <v>104</v>
      </c>
      <c r="C47" s="45" t="s">
        <v>43</v>
      </c>
      <c r="D47" s="45" t="s">
        <v>267</v>
      </c>
      <c r="E47" s="45">
        <v>170896</v>
      </c>
      <c r="F47" s="45"/>
      <c r="G47" s="45"/>
      <c r="H47" s="45">
        <v>22216</v>
      </c>
      <c r="N47" s="42" t="s">
        <v>284</v>
      </c>
      <c r="O47" s="48">
        <v>0.13</v>
      </c>
      <c r="P47" s="42">
        <f>INT(E47*O47)</f>
        <v>22216</v>
      </c>
    </row>
    <row r="48" spans="1:16">
      <c r="A48" s="44">
        <v>2010</v>
      </c>
      <c r="B48" s="44" t="s">
        <v>104</v>
      </c>
      <c r="C48" s="44" t="s">
        <v>43</v>
      </c>
      <c r="D48" s="44" t="s">
        <v>268</v>
      </c>
      <c r="E48" s="44">
        <v>126259</v>
      </c>
      <c r="F48" s="44"/>
      <c r="G48" s="44"/>
      <c r="H48" s="44">
        <v>13888</v>
      </c>
      <c r="P48" s="42">
        <f t="shared" si="0"/>
        <v>0</v>
      </c>
    </row>
    <row r="49" spans="1:16">
      <c r="A49" s="45">
        <v>2010</v>
      </c>
      <c r="B49" s="45" t="s">
        <v>104</v>
      </c>
      <c r="C49" s="45" t="s">
        <v>43</v>
      </c>
      <c r="D49" s="45" t="s">
        <v>269</v>
      </c>
      <c r="E49" s="45">
        <v>99113</v>
      </c>
      <c r="F49" s="45"/>
      <c r="G49" s="45"/>
      <c r="H49" s="45">
        <v>10902</v>
      </c>
      <c r="N49" s="42" t="s">
        <v>267</v>
      </c>
      <c r="O49" s="48">
        <v>0.13</v>
      </c>
      <c r="P49" s="42">
        <f t="shared" si="0"/>
        <v>12884</v>
      </c>
    </row>
    <row r="50" spans="1:16">
      <c r="A50" s="44">
        <v>2010</v>
      </c>
      <c r="B50" s="44" t="s">
        <v>104</v>
      </c>
      <c r="C50" s="44" t="s">
        <v>43</v>
      </c>
      <c r="D50" s="44" t="s">
        <v>254</v>
      </c>
      <c r="E50" s="44">
        <v>88048</v>
      </c>
      <c r="F50" s="44"/>
      <c r="G50" s="44"/>
      <c r="H50" s="44">
        <v>9685</v>
      </c>
      <c r="N50" s="42" t="s">
        <v>268</v>
      </c>
      <c r="O50" s="48">
        <v>0.11</v>
      </c>
      <c r="P50" s="42">
        <f t="shared" si="0"/>
        <v>9685</v>
      </c>
    </row>
    <row r="51" spans="1:16">
      <c r="A51" s="45">
        <v>2010</v>
      </c>
      <c r="B51" s="45" t="s">
        <v>104</v>
      </c>
      <c r="C51" s="45" t="s">
        <v>43</v>
      </c>
      <c r="D51" s="45" t="s">
        <v>270</v>
      </c>
      <c r="E51" s="45">
        <v>69022</v>
      </c>
      <c r="F51" s="45"/>
      <c r="G51" s="45"/>
      <c r="H51" s="45">
        <v>7592</v>
      </c>
      <c r="N51" s="42" t="s">
        <v>269</v>
      </c>
      <c r="O51" s="48">
        <v>0.11</v>
      </c>
      <c r="P51" s="42">
        <f t="shared" si="0"/>
        <v>7592</v>
      </c>
    </row>
    <row r="52" spans="1:16">
      <c r="A52" s="44">
        <v>2010</v>
      </c>
      <c r="B52" s="44" t="s">
        <v>104</v>
      </c>
      <c r="C52" s="44" t="s">
        <v>43</v>
      </c>
      <c r="D52" s="44" t="s">
        <v>271</v>
      </c>
      <c r="E52" s="44">
        <v>61632</v>
      </c>
      <c r="F52" s="44"/>
      <c r="G52" s="44"/>
      <c r="H52" s="44">
        <v>6779</v>
      </c>
      <c r="N52" s="42" t="s">
        <v>254</v>
      </c>
      <c r="O52" s="48">
        <v>0.11</v>
      </c>
      <c r="P52" s="42">
        <f t="shared" si="0"/>
        <v>6779</v>
      </c>
    </row>
    <row r="53" spans="1:16">
      <c r="A53" s="45">
        <v>2010</v>
      </c>
      <c r="B53" s="45" t="s">
        <v>104</v>
      </c>
      <c r="C53" s="45" t="s">
        <v>43</v>
      </c>
      <c r="D53" s="45" t="s">
        <v>272</v>
      </c>
      <c r="E53" s="45">
        <v>41737</v>
      </c>
      <c r="F53" s="45"/>
      <c r="G53" s="45"/>
      <c r="H53" s="45">
        <v>4591</v>
      </c>
      <c r="N53" s="42" t="s">
        <v>270</v>
      </c>
      <c r="O53" s="48">
        <v>0.11</v>
      </c>
      <c r="P53" s="42">
        <f t="shared" si="0"/>
        <v>4591</v>
      </c>
    </row>
    <row r="54" spans="1:16">
      <c r="A54" s="44">
        <v>2010</v>
      </c>
      <c r="B54" s="44" t="s">
        <v>104</v>
      </c>
      <c r="C54" s="44" t="s">
        <v>43</v>
      </c>
      <c r="D54" s="44" t="s">
        <v>273</v>
      </c>
      <c r="E54" s="44">
        <v>36735</v>
      </c>
      <c r="F54" s="44"/>
      <c r="G54" s="44"/>
      <c r="H54" s="44">
        <v>4040</v>
      </c>
      <c r="N54" s="42" t="s">
        <v>271</v>
      </c>
      <c r="O54" s="48">
        <v>0.11</v>
      </c>
      <c r="P54" s="42">
        <f t="shared" si="0"/>
        <v>4040</v>
      </c>
    </row>
    <row r="55" spans="1:16">
      <c r="A55" s="45">
        <v>2010</v>
      </c>
      <c r="B55" s="45" t="s">
        <v>104</v>
      </c>
      <c r="C55" s="45" t="s">
        <v>43</v>
      </c>
      <c r="D55" s="45" t="s">
        <v>274</v>
      </c>
      <c r="E55" s="45">
        <v>23697</v>
      </c>
      <c r="F55" s="45"/>
      <c r="G55" s="45"/>
      <c r="H55" s="45">
        <v>2606</v>
      </c>
      <c r="N55" s="42" t="s">
        <v>272</v>
      </c>
      <c r="O55" s="48">
        <v>0.11</v>
      </c>
      <c r="P55" s="42">
        <f t="shared" si="0"/>
        <v>2606</v>
      </c>
    </row>
    <row r="56" spans="1:16">
      <c r="A56" s="44">
        <v>2010</v>
      </c>
      <c r="B56" s="44" t="s">
        <v>104</v>
      </c>
      <c r="C56" s="44" t="s">
        <v>43</v>
      </c>
      <c r="D56" s="44" t="s">
        <v>275</v>
      </c>
      <c r="E56" s="44">
        <v>22829</v>
      </c>
      <c r="F56" s="44"/>
      <c r="G56" s="44"/>
      <c r="H56" s="44">
        <v>2511</v>
      </c>
      <c r="N56" s="42" t="s">
        <v>273</v>
      </c>
      <c r="O56" s="48">
        <v>0.11</v>
      </c>
      <c r="P56" s="42">
        <f t="shared" si="0"/>
        <v>2511</v>
      </c>
    </row>
    <row r="57" spans="1:16">
      <c r="A57" s="45">
        <v>2010</v>
      </c>
      <c r="B57" s="45" t="s">
        <v>104</v>
      </c>
      <c r="C57" s="45" t="s">
        <v>43</v>
      </c>
      <c r="D57" s="45" t="s">
        <v>276</v>
      </c>
      <c r="E57" s="45">
        <v>15298</v>
      </c>
      <c r="F57" s="45"/>
      <c r="G57" s="45"/>
      <c r="H57" s="45">
        <v>1682</v>
      </c>
      <c r="N57" s="42" t="s">
        <v>274</v>
      </c>
      <c r="O57" s="48">
        <v>0.11</v>
      </c>
      <c r="P57" s="42">
        <f t="shared" si="0"/>
        <v>1682</v>
      </c>
    </row>
    <row r="58" spans="1:16">
      <c r="A58" s="44">
        <v>2010</v>
      </c>
      <c r="B58" s="44" t="s">
        <v>104</v>
      </c>
      <c r="C58" s="44" t="s">
        <v>43</v>
      </c>
      <c r="D58" s="44" t="s">
        <v>277</v>
      </c>
      <c r="E58" s="44">
        <v>13551</v>
      </c>
      <c r="F58" s="44"/>
      <c r="G58" s="44"/>
      <c r="H58" s="44">
        <v>1490</v>
      </c>
      <c r="N58" s="42" t="s">
        <v>275</v>
      </c>
      <c r="O58" s="48">
        <v>0.11</v>
      </c>
      <c r="P58" s="42">
        <f t="shared" si="0"/>
        <v>1490</v>
      </c>
    </row>
    <row r="59" spans="1:16">
      <c r="A59" s="45">
        <v>2010</v>
      </c>
      <c r="B59" s="45" t="s">
        <v>104</v>
      </c>
      <c r="C59" s="45" t="s">
        <v>43</v>
      </c>
      <c r="D59" s="45" t="s">
        <v>278</v>
      </c>
      <c r="E59" s="45">
        <v>12233</v>
      </c>
      <c r="F59" s="45"/>
      <c r="G59" s="45"/>
      <c r="H59" s="45">
        <v>1345</v>
      </c>
      <c r="N59" s="42" t="s">
        <v>276</v>
      </c>
      <c r="O59" s="48">
        <v>0.11</v>
      </c>
      <c r="P59" s="42">
        <f t="shared" si="0"/>
        <v>1345</v>
      </c>
    </row>
    <row r="60" spans="1:16">
      <c r="A60" s="44">
        <v>2010</v>
      </c>
      <c r="B60" s="44" t="s">
        <v>104</v>
      </c>
      <c r="C60" s="44" t="s">
        <v>43</v>
      </c>
      <c r="D60" s="44" t="s">
        <v>279</v>
      </c>
      <c r="E60" s="44">
        <v>10276</v>
      </c>
      <c r="F60" s="44"/>
      <c r="G60" s="44"/>
      <c r="H60" s="44">
        <v>1335</v>
      </c>
      <c r="N60" s="42" t="s">
        <v>277</v>
      </c>
      <c r="O60" s="48">
        <v>0.11</v>
      </c>
      <c r="P60" s="42">
        <f t="shared" si="0"/>
        <v>1130</v>
      </c>
    </row>
    <row r="61" spans="1:16">
      <c r="A61" s="45">
        <v>2010</v>
      </c>
      <c r="B61" s="45" t="s">
        <v>104</v>
      </c>
      <c r="C61" s="45" t="s">
        <v>43</v>
      </c>
      <c r="D61" s="45" t="s">
        <v>280</v>
      </c>
      <c r="E61" s="45">
        <v>6940</v>
      </c>
      <c r="F61" s="45"/>
      <c r="G61" s="45"/>
      <c r="H61" s="45">
        <v>902</v>
      </c>
      <c r="N61" s="42" t="s">
        <v>278</v>
      </c>
      <c r="O61" s="48">
        <v>0.11</v>
      </c>
      <c r="P61" s="42">
        <f t="shared" si="0"/>
        <v>763</v>
      </c>
    </row>
    <row r="62" spans="1:16">
      <c r="A62" s="44">
        <v>2010</v>
      </c>
      <c r="B62" s="44" t="s">
        <v>104</v>
      </c>
      <c r="C62" s="44" t="s">
        <v>43</v>
      </c>
      <c r="D62" s="44" t="s">
        <v>281</v>
      </c>
      <c r="E62" s="44">
        <v>4764</v>
      </c>
      <c r="F62" s="44"/>
      <c r="G62" s="44"/>
      <c r="H62" s="44">
        <v>619</v>
      </c>
      <c r="N62" s="42" t="s">
        <v>279</v>
      </c>
      <c r="O62" s="48">
        <v>0.13</v>
      </c>
      <c r="P62" s="42">
        <f t="shared" si="0"/>
        <v>619</v>
      </c>
    </row>
    <row r="63" spans="1:16">
      <c r="A63" s="45">
        <v>2010</v>
      </c>
      <c r="B63" s="45" t="s">
        <v>104</v>
      </c>
      <c r="C63" s="45" t="s">
        <v>43</v>
      </c>
      <c r="D63" s="45" t="s">
        <v>282</v>
      </c>
      <c r="E63" s="45">
        <v>2406</v>
      </c>
      <c r="F63" s="45"/>
      <c r="G63" s="45"/>
      <c r="H63" s="45">
        <v>312</v>
      </c>
      <c r="N63" s="42" t="s">
        <v>280</v>
      </c>
      <c r="O63" s="48">
        <v>0.13</v>
      </c>
      <c r="P63" s="42">
        <f t="shared" si="0"/>
        <v>312</v>
      </c>
    </row>
    <row r="64" spans="1:16">
      <c r="A64" s="44">
        <v>2010</v>
      </c>
      <c r="B64" s="44" t="s">
        <v>104</v>
      </c>
      <c r="C64" s="44" t="s">
        <v>43</v>
      </c>
      <c r="D64" s="44" t="s">
        <v>283</v>
      </c>
      <c r="E64" s="44">
        <v>1372</v>
      </c>
      <c r="F64" s="44"/>
      <c r="G64" s="44"/>
      <c r="H64" s="44">
        <v>178</v>
      </c>
      <c r="N64" s="42" t="s">
        <v>281</v>
      </c>
      <c r="O64" s="48">
        <v>0.13</v>
      </c>
      <c r="P64" s="42">
        <f t="shared" si="0"/>
        <v>178</v>
      </c>
    </row>
    <row r="65" spans="1:16">
      <c r="A65" s="45">
        <v>2010</v>
      </c>
      <c r="B65" s="45" t="s">
        <v>104</v>
      </c>
      <c r="C65" s="45" t="s">
        <v>43</v>
      </c>
      <c r="D65" s="45" t="s">
        <v>284</v>
      </c>
      <c r="E65" s="45">
        <v>1173</v>
      </c>
      <c r="F65" s="45"/>
      <c r="G65" s="45"/>
      <c r="H65" s="45">
        <v>152</v>
      </c>
      <c r="N65" s="42" t="s">
        <v>282</v>
      </c>
      <c r="O65" s="48">
        <v>0.13</v>
      </c>
      <c r="P65" s="42">
        <f t="shared" si="0"/>
        <v>152</v>
      </c>
    </row>
    <row r="66" spans="1:16">
      <c r="A66" s="45">
        <v>2010</v>
      </c>
      <c r="B66" s="45" t="s">
        <v>105</v>
      </c>
      <c r="C66" s="45" t="s">
        <v>43</v>
      </c>
      <c r="D66" s="45" t="s">
        <v>267</v>
      </c>
      <c r="E66" s="45">
        <v>108626</v>
      </c>
      <c r="F66" s="45"/>
      <c r="G66" s="45"/>
      <c r="H66" s="45">
        <v>14121</v>
      </c>
      <c r="N66" s="42" t="s">
        <v>283</v>
      </c>
      <c r="O66" s="48">
        <v>0.13</v>
      </c>
      <c r="P66" s="42">
        <f t="shared" si="0"/>
        <v>14121</v>
      </c>
    </row>
    <row r="67" spans="1:16">
      <c r="A67" s="44">
        <v>2010</v>
      </c>
      <c r="B67" s="44" t="s">
        <v>105</v>
      </c>
      <c r="C67" s="44" t="s">
        <v>43</v>
      </c>
      <c r="D67" s="44" t="s">
        <v>268</v>
      </c>
      <c r="E67" s="44">
        <v>80315</v>
      </c>
      <c r="F67" s="44"/>
      <c r="G67" s="44"/>
      <c r="H67" s="44">
        <v>8834</v>
      </c>
      <c r="N67" s="42" t="s">
        <v>284</v>
      </c>
      <c r="O67" s="48">
        <v>0.13</v>
      </c>
      <c r="P67" s="42">
        <f t="shared" si="0"/>
        <v>10440</v>
      </c>
    </row>
    <row r="68" spans="1:16">
      <c r="A68" s="45">
        <v>2010</v>
      </c>
      <c r="B68" s="45" t="s">
        <v>105</v>
      </c>
      <c r="C68" s="45" t="s">
        <v>43</v>
      </c>
      <c r="D68" s="45" t="s">
        <v>269</v>
      </c>
      <c r="E68" s="45">
        <v>59996</v>
      </c>
      <c r="F68" s="45"/>
      <c r="G68" s="45"/>
      <c r="H68" s="45">
        <v>6599</v>
      </c>
      <c r="P68" s="42">
        <f t="shared" si="0"/>
        <v>0</v>
      </c>
    </row>
    <row r="69" spans="1:16">
      <c r="A69" s="44">
        <v>2010</v>
      </c>
      <c r="B69" s="44" t="s">
        <v>105</v>
      </c>
      <c r="C69" s="44" t="s">
        <v>43</v>
      </c>
      <c r="D69" s="44" t="s">
        <v>254</v>
      </c>
      <c r="E69" s="44">
        <v>55569</v>
      </c>
      <c r="F69" s="44"/>
      <c r="G69" s="44"/>
      <c r="H69" s="44">
        <v>6112</v>
      </c>
      <c r="N69" s="42" t="s">
        <v>267</v>
      </c>
      <c r="O69" s="48">
        <v>0.13</v>
      </c>
      <c r="P69" s="42">
        <f t="shared" si="0"/>
        <v>7223</v>
      </c>
    </row>
    <row r="70" spans="1:16">
      <c r="A70" s="45">
        <v>2010</v>
      </c>
      <c r="B70" s="45" t="s">
        <v>105</v>
      </c>
      <c r="C70" s="45" t="s">
        <v>43</v>
      </c>
      <c r="D70" s="45" t="s">
        <v>270</v>
      </c>
      <c r="E70" s="45">
        <v>41696</v>
      </c>
      <c r="F70" s="45"/>
      <c r="G70" s="45"/>
      <c r="H70" s="45">
        <v>4586</v>
      </c>
      <c r="N70" s="42" t="s">
        <v>268</v>
      </c>
      <c r="O70" s="48">
        <v>0.11</v>
      </c>
      <c r="P70" s="42">
        <f t="shared" si="0"/>
        <v>4586</v>
      </c>
    </row>
    <row r="71" spans="1:16">
      <c r="A71" s="44">
        <v>2010</v>
      </c>
      <c r="B71" s="44" t="s">
        <v>105</v>
      </c>
      <c r="C71" s="44" t="s">
        <v>43</v>
      </c>
      <c r="D71" s="44" t="s">
        <v>271</v>
      </c>
      <c r="E71" s="44">
        <v>39633</v>
      </c>
      <c r="F71" s="44"/>
      <c r="G71" s="44"/>
      <c r="H71" s="44">
        <v>4359</v>
      </c>
      <c r="N71" s="42" t="s">
        <v>269</v>
      </c>
      <c r="O71" s="48">
        <v>0.11</v>
      </c>
      <c r="P71" s="42">
        <f t="shared" si="0"/>
        <v>4359</v>
      </c>
    </row>
    <row r="72" spans="1:16">
      <c r="A72" s="45">
        <v>2010</v>
      </c>
      <c r="B72" s="45" t="s">
        <v>105</v>
      </c>
      <c r="C72" s="45" t="s">
        <v>43</v>
      </c>
      <c r="D72" s="45" t="s">
        <v>272</v>
      </c>
      <c r="E72" s="45">
        <v>26525</v>
      </c>
      <c r="F72" s="45"/>
      <c r="G72" s="45"/>
      <c r="H72" s="45">
        <v>2917</v>
      </c>
      <c r="N72" s="42" t="s">
        <v>254</v>
      </c>
      <c r="O72" s="48">
        <v>0.11</v>
      </c>
      <c r="P72" s="42">
        <f t="shared" si="0"/>
        <v>2917</v>
      </c>
    </row>
    <row r="73" spans="1:16">
      <c r="A73" s="44">
        <v>2010</v>
      </c>
      <c r="B73" s="44" t="s">
        <v>105</v>
      </c>
      <c r="C73" s="44" t="s">
        <v>43</v>
      </c>
      <c r="D73" s="44" t="s">
        <v>273</v>
      </c>
      <c r="E73" s="44">
        <v>23211</v>
      </c>
      <c r="F73" s="44"/>
      <c r="G73" s="44"/>
      <c r="H73" s="44">
        <v>2553</v>
      </c>
      <c r="N73" s="42" t="s">
        <v>270</v>
      </c>
      <c r="O73" s="48">
        <v>0.11</v>
      </c>
      <c r="P73" s="42">
        <f t="shared" si="0"/>
        <v>2553</v>
      </c>
    </row>
    <row r="74" spans="1:16">
      <c r="A74" s="45">
        <v>2010</v>
      </c>
      <c r="B74" s="45" t="s">
        <v>105</v>
      </c>
      <c r="C74" s="45" t="s">
        <v>43</v>
      </c>
      <c r="D74" s="45" t="s">
        <v>274</v>
      </c>
      <c r="E74" s="45">
        <v>15804</v>
      </c>
      <c r="F74" s="45"/>
      <c r="G74" s="45"/>
      <c r="H74" s="45">
        <v>1738</v>
      </c>
      <c r="N74" s="42" t="s">
        <v>271</v>
      </c>
      <c r="O74" s="48">
        <v>0.11</v>
      </c>
      <c r="P74" s="42">
        <f t="shared" ref="P74:P137" si="1">INT(E74*O74)</f>
        <v>1738</v>
      </c>
    </row>
    <row r="75" spans="1:16">
      <c r="A75" s="44">
        <v>2010</v>
      </c>
      <c r="B75" s="44" t="s">
        <v>105</v>
      </c>
      <c r="C75" s="44" t="s">
        <v>43</v>
      </c>
      <c r="D75" s="44" t="s">
        <v>275</v>
      </c>
      <c r="E75" s="44">
        <v>14448</v>
      </c>
      <c r="F75" s="44"/>
      <c r="G75" s="44"/>
      <c r="H75" s="44">
        <v>1589</v>
      </c>
      <c r="N75" s="42" t="s">
        <v>272</v>
      </c>
      <c r="O75" s="48">
        <v>0.11</v>
      </c>
      <c r="P75" s="42">
        <f t="shared" si="1"/>
        <v>1589</v>
      </c>
    </row>
    <row r="76" spans="1:16">
      <c r="A76" s="45">
        <v>2010</v>
      </c>
      <c r="B76" s="45" t="s">
        <v>105</v>
      </c>
      <c r="C76" s="45" t="s">
        <v>43</v>
      </c>
      <c r="D76" s="45" t="s">
        <v>276</v>
      </c>
      <c r="E76" s="45">
        <v>10075</v>
      </c>
      <c r="F76" s="45"/>
      <c r="G76" s="45"/>
      <c r="H76" s="45">
        <v>1108</v>
      </c>
      <c r="N76" s="42" t="s">
        <v>273</v>
      </c>
      <c r="O76" s="48">
        <v>0.11</v>
      </c>
      <c r="P76" s="42">
        <f t="shared" si="1"/>
        <v>1108</v>
      </c>
    </row>
    <row r="77" spans="1:16">
      <c r="A77" s="44">
        <v>2010</v>
      </c>
      <c r="B77" s="44" t="s">
        <v>105</v>
      </c>
      <c r="C77" s="44" t="s">
        <v>43</v>
      </c>
      <c r="D77" s="44" t="s">
        <v>277</v>
      </c>
      <c r="E77" s="44">
        <v>8696</v>
      </c>
      <c r="F77" s="44"/>
      <c r="G77" s="44"/>
      <c r="H77" s="44">
        <v>956</v>
      </c>
      <c r="N77" s="42" t="s">
        <v>274</v>
      </c>
      <c r="O77" s="48">
        <v>0.11</v>
      </c>
      <c r="P77" s="42">
        <f t="shared" si="1"/>
        <v>956</v>
      </c>
    </row>
    <row r="78" spans="1:16">
      <c r="A78" s="45">
        <v>2010</v>
      </c>
      <c r="B78" s="45" t="s">
        <v>105</v>
      </c>
      <c r="C78" s="45" t="s">
        <v>43</v>
      </c>
      <c r="D78" s="45" t="s">
        <v>278</v>
      </c>
      <c r="E78" s="45">
        <v>6980</v>
      </c>
      <c r="F78" s="45"/>
      <c r="G78" s="45"/>
      <c r="H78" s="45">
        <v>767</v>
      </c>
      <c r="N78" s="42" t="s">
        <v>275</v>
      </c>
      <c r="O78" s="48">
        <v>0.11</v>
      </c>
      <c r="P78" s="42">
        <f t="shared" si="1"/>
        <v>767</v>
      </c>
    </row>
    <row r="79" spans="1:16">
      <c r="A79" s="44">
        <v>2010</v>
      </c>
      <c r="B79" s="44" t="s">
        <v>105</v>
      </c>
      <c r="C79" s="44" t="s">
        <v>43</v>
      </c>
      <c r="D79" s="44" t="s">
        <v>279</v>
      </c>
      <c r="E79" s="44">
        <v>5317</v>
      </c>
      <c r="F79" s="44"/>
      <c r="G79" s="44"/>
      <c r="H79" s="44">
        <v>691</v>
      </c>
      <c r="N79" s="42" t="s">
        <v>276</v>
      </c>
      <c r="O79" s="48">
        <v>0.11</v>
      </c>
      <c r="P79" s="42">
        <f t="shared" si="1"/>
        <v>584</v>
      </c>
    </row>
    <row r="80" spans="1:16">
      <c r="A80" s="45">
        <v>2010</v>
      </c>
      <c r="B80" s="45" t="s">
        <v>105</v>
      </c>
      <c r="C80" s="45" t="s">
        <v>43</v>
      </c>
      <c r="D80" s="45" t="s">
        <v>280</v>
      </c>
      <c r="E80" s="45">
        <v>3078</v>
      </c>
      <c r="F80" s="45"/>
      <c r="G80" s="45"/>
      <c r="H80" s="45">
        <v>400</v>
      </c>
      <c r="N80" s="42" t="s">
        <v>277</v>
      </c>
      <c r="O80" s="48">
        <v>0.11</v>
      </c>
      <c r="P80" s="42">
        <f t="shared" si="1"/>
        <v>338</v>
      </c>
    </row>
    <row r="81" spans="1:16">
      <c r="A81" s="44">
        <v>2010</v>
      </c>
      <c r="B81" s="44" t="s">
        <v>105</v>
      </c>
      <c r="C81" s="44" t="s">
        <v>43</v>
      </c>
      <c r="D81" s="44" t="s">
        <v>281</v>
      </c>
      <c r="E81" s="44">
        <v>1898</v>
      </c>
      <c r="F81" s="44"/>
      <c r="G81" s="44"/>
      <c r="H81" s="44">
        <v>246</v>
      </c>
      <c r="N81" s="42" t="s">
        <v>278</v>
      </c>
      <c r="O81" s="48">
        <v>0.11</v>
      </c>
      <c r="P81" s="42">
        <f t="shared" si="1"/>
        <v>208</v>
      </c>
    </row>
    <row r="82" spans="1:16">
      <c r="A82" s="45">
        <v>2010</v>
      </c>
      <c r="B82" s="45" t="s">
        <v>105</v>
      </c>
      <c r="C82" s="45" t="s">
        <v>43</v>
      </c>
      <c r="D82" s="45" t="s">
        <v>282</v>
      </c>
      <c r="E82" s="45">
        <v>752</v>
      </c>
      <c r="F82" s="45"/>
      <c r="G82" s="45"/>
      <c r="H82" s="45">
        <v>97</v>
      </c>
      <c r="N82" s="42" t="s">
        <v>279</v>
      </c>
      <c r="O82" s="48">
        <v>0.13</v>
      </c>
      <c r="P82" s="42">
        <f t="shared" si="1"/>
        <v>97</v>
      </c>
    </row>
    <row r="83" spans="1:16">
      <c r="A83" s="44">
        <v>2010</v>
      </c>
      <c r="B83" s="44" t="s">
        <v>105</v>
      </c>
      <c r="C83" s="44" t="s">
        <v>43</v>
      </c>
      <c r="D83" s="44" t="s">
        <v>283</v>
      </c>
      <c r="E83" s="44">
        <v>441</v>
      </c>
      <c r="F83" s="44"/>
      <c r="G83" s="44"/>
      <c r="H83" s="44">
        <v>57</v>
      </c>
      <c r="N83" s="42" t="s">
        <v>280</v>
      </c>
      <c r="O83" s="48">
        <v>0.13</v>
      </c>
      <c r="P83" s="42">
        <f t="shared" si="1"/>
        <v>57</v>
      </c>
    </row>
    <row r="84" spans="1:16">
      <c r="A84" s="45">
        <v>2010</v>
      </c>
      <c r="B84" s="45" t="s">
        <v>105</v>
      </c>
      <c r="C84" s="45" t="s">
        <v>43</v>
      </c>
      <c r="D84" s="45" t="s">
        <v>284</v>
      </c>
      <c r="E84" s="45">
        <v>278</v>
      </c>
      <c r="F84" s="45"/>
      <c r="G84" s="45"/>
      <c r="H84" s="45">
        <v>36</v>
      </c>
      <c r="N84" s="42" t="s">
        <v>281</v>
      </c>
      <c r="O84" s="48">
        <v>0.13</v>
      </c>
      <c r="P84" s="42">
        <f t="shared" si="1"/>
        <v>36</v>
      </c>
    </row>
    <row r="85" spans="1:16">
      <c r="A85" s="45">
        <v>2010</v>
      </c>
      <c r="B85" s="45" t="s">
        <v>106</v>
      </c>
      <c r="C85" s="45" t="s">
        <v>43</v>
      </c>
      <c r="D85" s="45" t="s">
        <v>267</v>
      </c>
      <c r="E85" s="45">
        <v>196810</v>
      </c>
      <c r="F85" s="45"/>
      <c r="G85" s="45"/>
      <c r="H85" s="45">
        <v>25585</v>
      </c>
      <c r="N85" s="42" t="s">
        <v>282</v>
      </c>
      <c r="O85" s="48">
        <v>0.13</v>
      </c>
      <c r="P85" s="42">
        <f t="shared" si="1"/>
        <v>25585</v>
      </c>
    </row>
    <row r="86" spans="1:16">
      <c r="A86" s="44">
        <v>2010</v>
      </c>
      <c r="B86" s="44" t="s">
        <v>106</v>
      </c>
      <c r="C86" s="44" t="s">
        <v>43</v>
      </c>
      <c r="D86" s="44" t="s">
        <v>268</v>
      </c>
      <c r="E86" s="44">
        <v>145081</v>
      </c>
      <c r="F86" s="44"/>
      <c r="G86" s="44"/>
      <c r="H86" s="44">
        <v>15958</v>
      </c>
      <c r="N86" s="42" t="s">
        <v>283</v>
      </c>
      <c r="O86" s="48">
        <v>0.13</v>
      </c>
      <c r="P86" s="42">
        <f t="shared" si="1"/>
        <v>18860</v>
      </c>
    </row>
    <row r="87" spans="1:16">
      <c r="A87" s="45">
        <v>2010</v>
      </c>
      <c r="B87" s="45" t="s">
        <v>106</v>
      </c>
      <c r="C87" s="45" t="s">
        <v>43</v>
      </c>
      <c r="D87" s="45" t="s">
        <v>269</v>
      </c>
      <c r="E87" s="45">
        <v>139164</v>
      </c>
      <c r="F87" s="45"/>
      <c r="G87" s="45"/>
      <c r="H87" s="45">
        <v>15308</v>
      </c>
      <c r="N87" s="42" t="s">
        <v>284</v>
      </c>
      <c r="O87" s="48">
        <v>0.13</v>
      </c>
      <c r="P87" s="42">
        <f t="shared" si="1"/>
        <v>18091</v>
      </c>
    </row>
    <row r="88" spans="1:16">
      <c r="A88" s="44">
        <v>2010</v>
      </c>
      <c r="B88" s="44" t="s">
        <v>106</v>
      </c>
      <c r="C88" s="44" t="s">
        <v>43</v>
      </c>
      <c r="D88" s="44" t="s">
        <v>254</v>
      </c>
      <c r="E88" s="44">
        <v>137616</v>
      </c>
      <c r="F88" s="44"/>
      <c r="G88" s="44"/>
      <c r="H88" s="44">
        <v>15137</v>
      </c>
      <c r="P88" s="42">
        <f t="shared" si="1"/>
        <v>0</v>
      </c>
    </row>
    <row r="89" spans="1:16">
      <c r="A89" s="45">
        <v>2010</v>
      </c>
      <c r="B89" s="45" t="s">
        <v>106</v>
      </c>
      <c r="C89" s="45" t="s">
        <v>43</v>
      </c>
      <c r="D89" s="45" t="s">
        <v>270</v>
      </c>
      <c r="E89" s="45">
        <v>124019</v>
      </c>
      <c r="F89" s="45"/>
      <c r="G89" s="45"/>
      <c r="H89" s="45">
        <v>13642</v>
      </c>
      <c r="N89" s="42" t="s">
        <v>267</v>
      </c>
      <c r="O89" s="48">
        <v>0.13</v>
      </c>
      <c r="P89" s="42">
        <f t="shared" si="1"/>
        <v>16122</v>
      </c>
    </row>
    <row r="90" spans="1:16">
      <c r="A90" s="44">
        <v>2010</v>
      </c>
      <c r="B90" s="44" t="s">
        <v>106</v>
      </c>
      <c r="C90" s="44" t="s">
        <v>43</v>
      </c>
      <c r="D90" s="44" t="s">
        <v>271</v>
      </c>
      <c r="E90" s="44">
        <v>113430</v>
      </c>
      <c r="F90" s="44"/>
      <c r="G90" s="44"/>
      <c r="H90" s="44">
        <v>12477</v>
      </c>
      <c r="N90" s="42" t="s">
        <v>268</v>
      </c>
      <c r="O90" s="48">
        <v>0.11</v>
      </c>
      <c r="P90" s="42">
        <f t="shared" si="1"/>
        <v>12477</v>
      </c>
    </row>
    <row r="91" spans="1:16">
      <c r="A91" s="45">
        <v>2010</v>
      </c>
      <c r="B91" s="45" t="s">
        <v>106</v>
      </c>
      <c r="C91" s="45" t="s">
        <v>43</v>
      </c>
      <c r="D91" s="45" t="s">
        <v>272</v>
      </c>
      <c r="E91" s="45">
        <v>77300</v>
      </c>
      <c r="F91" s="45"/>
      <c r="G91" s="45"/>
      <c r="H91" s="45">
        <v>8503</v>
      </c>
      <c r="N91" s="42" t="s">
        <v>269</v>
      </c>
      <c r="O91" s="48">
        <v>0.11</v>
      </c>
      <c r="P91" s="42">
        <f t="shared" si="1"/>
        <v>8503</v>
      </c>
    </row>
    <row r="92" spans="1:16">
      <c r="A92" s="44">
        <v>2010</v>
      </c>
      <c r="B92" s="44" t="s">
        <v>106</v>
      </c>
      <c r="C92" s="44" t="s">
        <v>43</v>
      </c>
      <c r="D92" s="44" t="s">
        <v>273</v>
      </c>
      <c r="E92" s="44">
        <v>57163</v>
      </c>
      <c r="F92" s="44"/>
      <c r="G92" s="44"/>
      <c r="H92" s="44">
        <v>6287</v>
      </c>
      <c r="N92" s="42" t="s">
        <v>254</v>
      </c>
      <c r="O92" s="48">
        <v>0.11</v>
      </c>
      <c r="P92" s="42">
        <f t="shared" si="1"/>
        <v>6287</v>
      </c>
    </row>
    <row r="93" spans="1:16">
      <c r="A93" s="45">
        <v>2010</v>
      </c>
      <c r="B93" s="45" t="s">
        <v>106</v>
      </c>
      <c r="C93" s="45" t="s">
        <v>43</v>
      </c>
      <c r="D93" s="45" t="s">
        <v>274</v>
      </c>
      <c r="E93" s="45">
        <v>32559</v>
      </c>
      <c r="F93" s="45"/>
      <c r="G93" s="45"/>
      <c r="H93" s="45">
        <v>3581</v>
      </c>
      <c r="N93" s="42" t="s">
        <v>270</v>
      </c>
      <c r="O93" s="48">
        <v>0.11</v>
      </c>
      <c r="P93" s="42">
        <f t="shared" si="1"/>
        <v>3581</v>
      </c>
    </row>
    <row r="94" spans="1:16">
      <c r="A94" s="44">
        <v>2010</v>
      </c>
      <c r="B94" s="44" t="s">
        <v>106</v>
      </c>
      <c r="C94" s="44" t="s">
        <v>43</v>
      </c>
      <c r="D94" s="44" t="s">
        <v>275</v>
      </c>
      <c r="E94" s="44">
        <v>27516</v>
      </c>
      <c r="F94" s="44"/>
      <c r="G94" s="44"/>
      <c r="H94" s="44">
        <v>3026</v>
      </c>
      <c r="N94" s="42" t="s">
        <v>271</v>
      </c>
      <c r="O94" s="48">
        <v>0.11</v>
      </c>
      <c r="P94" s="42">
        <f t="shared" si="1"/>
        <v>3026</v>
      </c>
    </row>
    <row r="95" spans="1:16">
      <c r="A95" s="45">
        <v>2010</v>
      </c>
      <c r="B95" s="45" t="s">
        <v>106</v>
      </c>
      <c r="C95" s="45" t="s">
        <v>43</v>
      </c>
      <c r="D95" s="45" t="s">
        <v>276</v>
      </c>
      <c r="E95" s="45">
        <v>18748</v>
      </c>
      <c r="F95" s="45"/>
      <c r="G95" s="45"/>
      <c r="H95" s="45">
        <v>2062</v>
      </c>
      <c r="N95" s="42" t="s">
        <v>272</v>
      </c>
      <c r="O95" s="48">
        <v>0.11</v>
      </c>
      <c r="P95" s="42">
        <f t="shared" si="1"/>
        <v>2062</v>
      </c>
    </row>
    <row r="96" spans="1:16">
      <c r="A96" s="44">
        <v>2010</v>
      </c>
      <c r="B96" s="44" t="s">
        <v>106</v>
      </c>
      <c r="C96" s="44" t="s">
        <v>43</v>
      </c>
      <c r="D96" s="44" t="s">
        <v>277</v>
      </c>
      <c r="E96" s="44">
        <v>13093</v>
      </c>
      <c r="F96" s="44"/>
      <c r="G96" s="44"/>
      <c r="H96" s="44">
        <v>1440</v>
      </c>
      <c r="N96" s="42" t="s">
        <v>273</v>
      </c>
      <c r="O96" s="48">
        <v>0.11</v>
      </c>
      <c r="P96" s="42">
        <f t="shared" si="1"/>
        <v>1440</v>
      </c>
    </row>
    <row r="97" spans="1:16">
      <c r="A97" s="45">
        <v>2010</v>
      </c>
      <c r="B97" s="45" t="s">
        <v>106</v>
      </c>
      <c r="C97" s="45" t="s">
        <v>43</v>
      </c>
      <c r="D97" s="45" t="s">
        <v>278</v>
      </c>
      <c r="E97" s="45">
        <v>9299</v>
      </c>
      <c r="F97" s="45"/>
      <c r="G97" s="45"/>
      <c r="H97" s="45">
        <v>1022</v>
      </c>
      <c r="N97" s="42" t="s">
        <v>274</v>
      </c>
      <c r="O97" s="48">
        <v>0.11</v>
      </c>
      <c r="P97" s="42">
        <f t="shared" si="1"/>
        <v>1022</v>
      </c>
    </row>
    <row r="98" spans="1:16">
      <c r="A98" s="44">
        <v>2010</v>
      </c>
      <c r="B98" s="44" t="s">
        <v>106</v>
      </c>
      <c r="C98" s="44" t="s">
        <v>43</v>
      </c>
      <c r="D98" s="44" t="s">
        <v>279</v>
      </c>
      <c r="E98" s="44">
        <v>6254</v>
      </c>
      <c r="F98" s="44"/>
      <c r="G98" s="44"/>
      <c r="H98" s="44">
        <v>813</v>
      </c>
      <c r="N98" s="42" t="s">
        <v>275</v>
      </c>
      <c r="O98" s="48">
        <v>0.11</v>
      </c>
      <c r="P98" s="42">
        <f t="shared" si="1"/>
        <v>687</v>
      </c>
    </row>
    <row r="99" spans="1:16">
      <c r="A99" s="45">
        <v>2010</v>
      </c>
      <c r="B99" s="45" t="s">
        <v>106</v>
      </c>
      <c r="C99" s="45" t="s">
        <v>43</v>
      </c>
      <c r="D99" s="45" t="s">
        <v>280</v>
      </c>
      <c r="E99" s="45">
        <v>4208</v>
      </c>
      <c r="F99" s="45"/>
      <c r="G99" s="45"/>
      <c r="H99" s="45">
        <v>547</v>
      </c>
      <c r="N99" s="42" t="s">
        <v>276</v>
      </c>
      <c r="O99" s="48">
        <v>0.11</v>
      </c>
      <c r="P99" s="42">
        <f t="shared" si="1"/>
        <v>462</v>
      </c>
    </row>
    <row r="100" spans="1:16">
      <c r="A100" s="44">
        <v>2010</v>
      </c>
      <c r="B100" s="44" t="s">
        <v>106</v>
      </c>
      <c r="C100" s="44" t="s">
        <v>43</v>
      </c>
      <c r="D100" s="44" t="s">
        <v>281</v>
      </c>
      <c r="E100" s="44">
        <v>2863</v>
      </c>
      <c r="F100" s="44"/>
      <c r="G100" s="44"/>
      <c r="H100" s="44">
        <v>372</v>
      </c>
      <c r="N100" s="42" t="s">
        <v>277</v>
      </c>
      <c r="O100" s="48">
        <v>0.11</v>
      </c>
      <c r="P100" s="42">
        <f t="shared" si="1"/>
        <v>314</v>
      </c>
    </row>
    <row r="101" spans="1:16">
      <c r="A101" s="45">
        <v>2010</v>
      </c>
      <c r="B101" s="45" t="s">
        <v>106</v>
      </c>
      <c r="C101" s="45" t="s">
        <v>43</v>
      </c>
      <c r="D101" s="45" t="s">
        <v>282</v>
      </c>
      <c r="E101" s="45">
        <v>1454</v>
      </c>
      <c r="F101" s="45"/>
      <c r="G101" s="45"/>
      <c r="H101" s="45">
        <v>189</v>
      </c>
      <c r="N101" s="42" t="s">
        <v>278</v>
      </c>
      <c r="O101" s="48">
        <v>0.11</v>
      </c>
      <c r="P101" s="42">
        <f t="shared" si="1"/>
        <v>159</v>
      </c>
    </row>
    <row r="102" spans="1:16">
      <c r="A102" s="44">
        <v>2010</v>
      </c>
      <c r="B102" s="44" t="s">
        <v>106</v>
      </c>
      <c r="C102" s="44" t="s">
        <v>43</v>
      </c>
      <c r="D102" s="44" t="s">
        <v>283</v>
      </c>
      <c r="E102" s="44">
        <v>923</v>
      </c>
      <c r="F102" s="44"/>
      <c r="G102" s="44"/>
      <c r="H102" s="44">
        <v>119</v>
      </c>
      <c r="N102" s="42" t="s">
        <v>279</v>
      </c>
      <c r="O102" s="48">
        <v>0.13</v>
      </c>
      <c r="P102" s="42">
        <f t="shared" si="1"/>
        <v>119</v>
      </c>
    </row>
    <row r="103" spans="1:16">
      <c r="A103" s="45">
        <v>2010</v>
      </c>
      <c r="B103" s="45" t="s">
        <v>106</v>
      </c>
      <c r="C103" s="45" t="s">
        <v>43</v>
      </c>
      <c r="D103" s="45" t="s">
        <v>284</v>
      </c>
      <c r="E103" s="45">
        <v>727</v>
      </c>
      <c r="F103" s="45"/>
      <c r="G103" s="45"/>
      <c r="H103" s="45">
        <v>94</v>
      </c>
      <c r="N103" s="42" t="s">
        <v>280</v>
      </c>
      <c r="O103" s="48">
        <v>0.13</v>
      </c>
      <c r="P103" s="42">
        <f t="shared" si="1"/>
        <v>94</v>
      </c>
    </row>
    <row r="104" spans="1:16">
      <c r="A104" s="45">
        <v>2010</v>
      </c>
      <c r="B104" s="45" t="s">
        <v>107</v>
      </c>
      <c r="C104" s="45" t="s">
        <v>43</v>
      </c>
      <c r="D104" s="45" t="s">
        <v>267</v>
      </c>
      <c r="E104" s="45">
        <v>78923</v>
      </c>
      <c r="F104" s="45"/>
      <c r="G104" s="45"/>
      <c r="H104" s="45">
        <v>10259</v>
      </c>
      <c r="N104" s="42" t="s">
        <v>281</v>
      </c>
      <c r="O104" s="48">
        <v>0.13</v>
      </c>
      <c r="P104" s="42">
        <f t="shared" si="1"/>
        <v>10259</v>
      </c>
    </row>
    <row r="105" spans="1:16">
      <c r="A105" s="44">
        <v>2010</v>
      </c>
      <c r="B105" s="44" t="s">
        <v>107</v>
      </c>
      <c r="C105" s="44" t="s">
        <v>43</v>
      </c>
      <c r="D105" s="44" t="s">
        <v>268</v>
      </c>
      <c r="E105" s="44">
        <v>59001</v>
      </c>
      <c r="F105" s="44"/>
      <c r="G105" s="44"/>
      <c r="H105" s="44">
        <v>6490</v>
      </c>
      <c r="N105" s="42" t="s">
        <v>282</v>
      </c>
      <c r="O105" s="48">
        <v>0.13</v>
      </c>
      <c r="P105" s="42">
        <f t="shared" si="1"/>
        <v>7670</v>
      </c>
    </row>
    <row r="106" spans="1:16">
      <c r="A106" s="45">
        <v>2010</v>
      </c>
      <c r="B106" s="45" t="s">
        <v>107</v>
      </c>
      <c r="C106" s="45" t="s">
        <v>43</v>
      </c>
      <c r="D106" s="45" t="s">
        <v>269</v>
      </c>
      <c r="E106" s="45">
        <v>44058</v>
      </c>
      <c r="F106" s="45"/>
      <c r="G106" s="45"/>
      <c r="H106" s="45">
        <v>4846</v>
      </c>
      <c r="N106" s="42" t="s">
        <v>283</v>
      </c>
      <c r="O106" s="48">
        <v>0.13</v>
      </c>
      <c r="P106" s="42">
        <f t="shared" si="1"/>
        <v>5727</v>
      </c>
    </row>
    <row r="107" spans="1:16">
      <c r="A107" s="44">
        <v>2010</v>
      </c>
      <c r="B107" s="44" t="s">
        <v>107</v>
      </c>
      <c r="C107" s="44" t="s">
        <v>43</v>
      </c>
      <c r="D107" s="44" t="s">
        <v>254</v>
      </c>
      <c r="E107" s="44">
        <v>40379</v>
      </c>
      <c r="F107" s="44"/>
      <c r="G107" s="44"/>
      <c r="H107" s="44">
        <v>4441</v>
      </c>
      <c r="N107" s="42" t="s">
        <v>284</v>
      </c>
      <c r="O107" s="48">
        <v>0.13</v>
      </c>
      <c r="P107" s="42">
        <f t="shared" si="1"/>
        <v>5249</v>
      </c>
    </row>
    <row r="108" spans="1:16">
      <c r="A108" s="45">
        <v>2010</v>
      </c>
      <c r="B108" s="45" t="s">
        <v>107</v>
      </c>
      <c r="C108" s="45" t="s">
        <v>43</v>
      </c>
      <c r="D108" s="45" t="s">
        <v>270</v>
      </c>
      <c r="E108" s="45">
        <v>30977</v>
      </c>
      <c r="F108" s="45"/>
      <c r="G108" s="45"/>
      <c r="H108" s="45">
        <v>3407</v>
      </c>
      <c r="P108" s="42">
        <f t="shared" si="1"/>
        <v>0</v>
      </c>
    </row>
    <row r="109" spans="1:16">
      <c r="A109" s="44">
        <v>2010</v>
      </c>
      <c r="B109" s="44" t="s">
        <v>107</v>
      </c>
      <c r="C109" s="44" t="s">
        <v>43</v>
      </c>
      <c r="D109" s="44" t="s">
        <v>271</v>
      </c>
      <c r="E109" s="44">
        <v>27705</v>
      </c>
      <c r="F109" s="44"/>
      <c r="G109" s="44"/>
      <c r="H109" s="44">
        <v>3047</v>
      </c>
      <c r="N109" s="42" t="s">
        <v>267</v>
      </c>
      <c r="O109" s="48">
        <v>0.13</v>
      </c>
      <c r="P109" s="42">
        <f t="shared" si="1"/>
        <v>3601</v>
      </c>
    </row>
    <row r="110" spans="1:16">
      <c r="A110" s="45">
        <v>2010</v>
      </c>
      <c r="B110" s="45" t="s">
        <v>107</v>
      </c>
      <c r="C110" s="45" t="s">
        <v>43</v>
      </c>
      <c r="D110" s="45" t="s">
        <v>272</v>
      </c>
      <c r="E110" s="45">
        <v>17872</v>
      </c>
      <c r="F110" s="45"/>
      <c r="G110" s="45"/>
      <c r="H110" s="45">
        <v>1965</v>
      </c>
      <c r="N110" s="42" t="s">
        <v>268</v>
      </c>
      <c r="O110" s="48">
        <v>0.11</v>
      </c>
      <c r="P110" s="42">
        <f t="shared" si="1"/>
        <v>1965</v>
      </c>
    </row>
    <row r="111" spans="1:16">
      <c r="A111" s="44">
        <v>2010</v>
      </c>
      <c r="B111" s="44" t="s">
        <v>107</v>
      </c>
      <c r="C111" s="44" t="s">
        <v>43</v>
      </c>
      <c r="D111" s="44" t="s">
        <v>273</v>
      </c>
      <c r="E111" s="44">
        <v>15802</v>
      </c>
      <c r="F111" s="44"/>
      <c r="G111" s="44"/>
      <c r="H111" s="44">
        <v>1738</v>
      </c>
      <c r="N111" s="42" t="s">
        <v>269</v>
      </c>
      <c r="O111" s="48">
        <v>0.11</v>
      </c>
      <c r="P111" s="42">
        <f t="shared" si="1"/>
        <v>1738</v>
      </c>
    </row>
    <row r="112" spans="1:16">
      <c r="A112" s="45">
        <v>2010</v>
      </c>
      <c r="B112" s="45" t="s">
        <v>107</v>
      </c>
      <c r="C112" s="45" t="s">
        <v>43</v>
      </c>
      <c r="D112" s="45" t="s">
        <v>274</v>
      </c>
      <c r="E112" s="45">
        <v>10429</v>
      </c>
      <c r="F112" s="45"/>
      <c r="G112" s="45"/>
      <c r="H112" s="45">
        <v>1147</v>
      </c>
      <c r="N112" s="42" t="s">
        <v>254</v>
      </c>
      <c r="O112" s="48">
        <v>0.11</v>
      </c>
      <c r="P112" s="42">
        <f t="shared" si="1"/>
        <v>1147</v>
      </c>
    </row>
    <row r="113" spans="1:16">
      <c r="A113" s="44">
        <v>2010</v>
      </c>
      <c r="B113" s="44" t="s">
        <v>107</v>
      </c>
      <c r="C113" s="44" t="s">
        <v>43</v>
      </c>
      <c r="D113" s="44" t="s">
        <v>275</v>
      </c>
      <c r="E113" s="44">
        <v>9812</v>
      </c>
      <c r="F113" s="44"/>
      <c r="G113" s="44"/>
      <c r="H113" s="44">
        <v>1079</v>
      </c>
      <c r="N113" s="42" t="s">
        <v>270</v>
      </c>
      <c r="O113" s="48">
        <v>0.11</v>
      </c>
      <c r="P113" s="42">
        <f t="shared" si="1"/>
        <v>1079</v>
      </c>
    </row>
    <row r="114" spans="1:16">
      <c r="A114" s="45">
        <v>2010</v>
      </c>
      <c r="B114" s="45" t="s">
        <v>107</v>
      </c>
      <c r="C114" s="45" t="s">
        <v>43</v>
      </c>
      <c r="D114" s="45" t="s">
        <v>276</v>
      </c>
      <c r="E114" s="45">
        <v>6398</v>
      </c>
      <c r="F114" s="45"/>
      <c r="G114" s="45"/>
      <c r="H114" s="45">
        <v>703</v>
      </c>
      <c r="N114" s="42" t="s">
        <v>271</v>
      </c>
      <c r="O114" s="48">
        <v>0.11</v>
      </c>
      <c r="P114" s="42">
        <f t="shared" si="1"/>
        <v>703</v>
      </c>
    </row>
    <row r="115" spans="1:16">
      <c r="A115" s="44">
        <v>2010</v>
      </c>
      <c r="B115" s="44" t="s">
        <v>107</v>
      </c>
      <c r="C115" s="44" t="s">
        <v>43</v>
      </c>
      <c r="D115" s="44" t="s">
        <v>277</v>
      </c>
      <c r="E115" s="44">
        <v>5547</v>
      </c>
      <c r="F115" s="44"/>
      <c r="G115" s="44"/>
      <c r="H115" s="44">
        <v>610</v>
      </c>
      <c r="N115" s="42" t="s">
        <v>272</v>
      </c>
      <c r="O115" s="48">
        <v>0.11</v>
      </c>
      <c r="P115" s="42">
        <f t="shared" si="1"/>
        <v>610</v>
      </c>
    </row>
    <row r="116" spans="1:16">
      <c r="A116" s="45">
        <v>2010</v>
      </c>
      <c r="B116" s="45" t="s">
        <v>107</v>
      </c>
      <c r="C116" s="45" t="s">
        <v>43</v>
      </c>
      <c r="D116" s="45" t="s">
        <v>278</v>
      </c>
      <c r="E116" s="45">
        <v>5019</v>
      </c>
      <c r="F116" s="45"/>
      <c r="G116" s="45"/>
      <c r="H116" s="45">
        <v>552</v>
      </c>
      <c r="N116" s="42" t="s">
        <v>273</v>
      </c>
      <c r="O116" s="48">
        <v>0.11</v>
      </c>
      <c r="P116" s="42">
        <f t="shared" si="1"/>
        <v>552</v>
      </c>
    </row>
    <row r="117" spans="1:16">
      <c r="A117" s="44">
        <v>2010</v>
      </c>
      <c r="B117" s="44" t="s">
        <v>107</v>
      </c>
      <c r="C117" s="44" t="s">
        <v>43</v>
      </c>
      <c r="D117" s="44" t="s">
        <v>279</v>
      </c>
      <c r="E117" s="44">
        <v>4048</v>
      </c>
      <c r="F117" s="44"/>
      <c r="G117" s="44"/>
      <c r="H117" s="44">
        <v>526</v>
      </c>
      <c r="N117" s="42" t="s">
        <v>274</v>
      </c>
      <c r="O117" s="48">
        <v>0.11</v>
      </c>
      <c r="P117" s="42">
        <f t="shared" si="1"/>
        <v>445</v>
      </c>
    </row>
    <row r="118" spans="1:16">
      <c r="A118" s="45">
        <v>2010</v>
      </c>
      <c r="B118" s="45" t="s">
        <v>107</v>
      </c>
      <c r="C118" s="45" t="s">
        <v>43</v>
      </c>
      <c r="D118" s="45" t="s">
        <v>280</v>
      </c>
      <c r="E118" s="45">
        <v>2660</v>
      </c>
      <c r="F118" s="45"/>
      <c r="G118" s="45"/>
      <c r="H118" s="45">
        <v>345</v>
      </c>
      <c r="N118" s="42" t="s">
        <v>275</v>
      </c>
      <c r="O118" s="48">
        <v>0.11</v>
      </c>
      <c r="P118" s="42">
        <f t="shared" si="1"/>
        <v>292</v>
      </c>
    </row>
    <row r="119" spans="1:16">
      <c r="A119" s="44">
        <v>2010</v>
      </c>
      <c r="B119" s="44" t="s">
        <v>107</v>
      </c>
      <c r="C119" s="44" t="s">
        <v>43</v>
      </c>
      <c r="D119" s="44" t="s">
        <v>281</v>
      </c>
      <c r="E119" s="44">
        <v>1729</v>
      </c>
      <c r="F119" s="44"/>
      <c r="G119" s="44"/>
      <c r="H119" s="44">
        <v>224</v>
      </c>
      <c r="N119" s="42" t="s">
        <v>276</v>
      </c>
      <c r="O119" s="48">
        <v>0.11</v>
      </c>
      <c r="P119" s="42">
        <f t="shared" si="1"/>
        <v>190</v>
      </c>
    </row>
    <row r="120" spans="1:16">
      <c r="A120" s="45">
        <v>2010</v>
      </c>
      <c r="B120" s="45" t="s">
        <v>107</v>
      </c>
      <c r="C120" s="45" t="s">
        <v>43</v>
      </c>
      <c r="D120" s="45" t="s">
        <v>282</v>
      </c>
      <c r="E120" s="45">
        <v>679</v>
      </c>
      <c r="F120" s="45"/>
      <c r="G120" s="45"/>
      <c r="H120" s="45">
        <v>88</v>
      </c>
      <c r="N120" s="42" t="s">
        <v>277</v>
      </c>
      <c r="O120" s="48">
        <v>0.11</v>
      </c>
      <c r="P120" s="42">
        <f t="shared" si="1"/>
        <v>74</v>
      </c>
    </row>
    <row r="121" spans="1:16">
      <c r="A121" s="44">
        <v>2010</v>
      </c>
      <c r="B121" s="44" t="s">
        <v>107</v>
      </c>
      <c r="C121" s="44" t="s">
        <v>43</v>
      </c>
      <c r="D121" s="44" t="s">
        <v>283</v>
      </c>
      <c r="E121" s="44">
        <v>434</v>
      </c>
      <c r="F121" s="44"/>
      <c r="G121" s="44"/>
      <c r="H121" s="44">
        <v>56</v>
      </c>
      <c r="N121" s="42" t="s">
        <v>278</v>
      </c>
      <c r="O121" s="48">
        <v>0.11</v>
      </c>
      <c r="P121" s="42">
        <f t="shared" si="1"/>
        <v>47</v>
      </c>
    </row>
    <row r="122" spans="1:16">
      <c r="A122" s="45">
        <v>2010</v>
      </c>
      <c r="B122" s="45" t="s">
        <v>107</v>
      </c>
      <c r="C122" s="45" t="s">
        <v>43</v>
      </c>
      <c r="D122" s="45" t="s">
        <v>284</v>
      </c>
      <c r="E122" s="45">
        <v>313</v>
      </c>
      <c r="F122" s="45"/>
      <c r="G122" s="45"/>
      <c r="H122" s="45">
        <v>40</v>
      </c>
      <c r="N122" s="42" t="s">
        <v>279</v>
      </c>
      <c r="O122" s="48">
        <v>0.13</v>
      </c>
      <c r="P122" s="42">
        <f t="shared" si="1"/>
        <v>40</v>
      </c>
    </row>
    <row r="123" spans="1:16">
      <c r="A123" s="45">
        <v>2010</v>
      </c>
      <c r="B123" s="45" t="s">
        <v>109</v>
      </c>
      <c r="C123" s="45" t="s">
        <v>43</v>
      </c>
      <c r="D123" s="45" t="s">
        <v>267</v>
      </c>
      <c r="E123" s="45">
        <v>124625</v>
      </c>
      <c r="F123" s="45"/>
      <c r="G123" s="45"/>
      <c r="H123" s="45">
        <v>16201</v>
      </c>
      <c r="N123" s="42" t="s">
        <v>280</v>
      </c>
      <c r="O123" s="48">
        <v>0.13</v>
      </c>
      <c r="P123" s="42">
        <f t="shared" si="1"/>
        <v>16201</v>
      </c>
    </row>
    <row r="124" spans="1:16">
      <c r="A124" s="44">
        <v>2010</v>
      </c>
      <c r="B124" s="44" t="s">
        <v>109</v>
      </c>
      <c r="C124" s="44" t="s">
        <v>43</v>
      </c>
      <c r="D124" s="44" t="s">
        <v>268</v>
      </c>
      <c r="E124" s="44">
        <v>91084</v>
      </c>
      <c r="F124" s="44"/>
      <c r="G124" s="44"/>
      <c r="H124" s="44">
        <v>10019</v>
      </c>
      <c r="N124" s="42" t="s">
        <v>281</v>
      </c>
      <c r="O124" s="48">
        <v>0.13</v>
      </c>
      <c r="P124" s="42">
        <f t="shared" si="1"/>
        <v>11840</v>
      </c>
    </row>
    <row r="125" spans="1:16">
      <c r="A125" s="45">
        <v>2010</v>
      </c>
      <c r="B125" s="45" t="s">
        <v>109</v>
      </c>
      <c r="C125" s="45" t="s">
        <v>43</v>
      </c>
      <c r="D125" s="45" t="s">
        <v>269</v>
      </c>
      <c r="E125" s="45">
        <v>66376</v>
      </c>
      <c r="F125" s="45"/>
      <c r="G125" s="45"/>
      <c r="H125" s="45">
        <v>7301</v>
      </c>
      <c r="N125" s="42" t="s">
        <v>282</v>
      </c>
      <c r="O125" s="48">
        <v>0.13</v>
      </c>
      <c r="P125" s="42">
        <f t="shared" si="1"/>
        <v>8628</v>
      </c>
    </row>
    <row r="126" spans="1:16">
      <c r="A126" s="44">
        <v>2010</v>
      </c>
      <c r="B126" s="44" t="s">
        <v>109</v>
      </c>
      <c r="C126" s="44" t="s">
        <v>43</v>
      </c>
      <c r="D126" s="44" t="s">
        <v>254</v>
      </c>
      <c r="E126" s="44">
        <v>62508</v>
      </c>
      <c r="F126" s="44"/>
      <c r="G126" s="44"/>
      <c r="H126" s="44">
        <v>6875</v>
      </c>
      <c r="N126" s="42" t="s">
        <v>283</v>
      </c>
      <c r="O126" s="48">
        <v>0.13</v>
      </c>
      <c r="P126" s="42">
        <f t="shared" si="1"/>
        <v>8126</v>
      </c>
    </row>
    <row r="127" spans="1:16">
      <c r="A127" s="45">
        <v>2010</v>
      </c>
      <c r="B127" s="45" t="s">
        <v>109</v>
      </c>
      <c r="C127" s="45" t="s">
        <v>43</v>
      </c>
      <c r="D127" s="45" t="s">
        <v>270</v>
      </c>
      <c r="E127" s="45">
        <v>47359</v>
      </c>
      <c r="F127" s="45"/>
      <c r="G127" s="45"/>
      <c r="H127" s="45">
        <v>5209</v>
      </c>
      <c r="N127" s="42" t="s">
        <v>284</v>
      </c>
      <c r="O127" s="48">
        <v>0.13</v>
      </c>
      <c r="P127" s="42">
        <f t="shared" si="1"/>
        <v>6156</v>
      </c>
    </row>
    <row r="128" spans="1:16">
      <c r="A128" s="44">
        <v>2010</v>
      </c>
      <c r="B128" s="44" t="s">
        <v>109</v>
      </c>
      <c r="C128" s="44" t="s">
        <v>43</v>
      </c>
      <c r="D128" s="44" t="s">
        <v>271</v>
      </c>
      <c r="E128" s="44">
        <v>42520</v>
      </c>
      <c r="F128" s="44"/>
      <c r="G128" s="44"/>
      <c r="H128" s="44">
        <v>4677</v>
      </c>
      <c r="P128" s="42">
        <f t="shared" si="1"/>
        <v>0</v>
      </c>
    </row>
    <row r="129" spans="1:16">
      <c r="A129" s="45">
        <v>2010</v>
      </c>
      <c r="B129" s="45" t="s">
        <v>109</v>
      </c>
      <c r="C129" s="45" t="s">
        <v>43</v>
      </c>
      <c r="D129" s="45" t="s">
        <v>272</v>
      </c>
      <c r="E129" s="45">
        <v>27380</v>
      </c>
      <c r="F129" s="45"/>
      <c r="G129" s="45"/>
      <c r="H129" s="45">
        <v>3011</v>
      </c>
      <c r="N129" s="42" t="s">
        <v>267</v>
      </c>
      <c r="O129" s="48">
        <v>0.13</v>
      </c>
      <c r="P129" s="42">
        <f t="shared" si="1"/>
        <v>3559</v>
      </c>
    </row>
    <row r="130" spans="1:16">
      <c r="A130" s="44">
        <v>2010</v>
      </c>
      <c r="B130" s="44" t="s">
        <v>109</v>
      </c>
      <c r="C130" s="44" t="s">
        <v>43</v>
      </c>
      <c r="D130" s="44" t="s">
        <v>273</v>
      </c>
      <c r="E130" s="44">
        <v>24808</v>
      </c>
      <c r="F130" s="44"/>
      <c r="G130" s="44"/>
      <c r="H130" s="44">
        <v>2728</v>
      </c>
      <c r="N130" s="42" t="s">
        <v>268</v>
      </c>
      <c r="O130" s="48">
        <v>0.11</v>
      </c>
      <c r="P130" s="42">
        <f t="shared" si="1"/>
        <v>2728</v>
      </c>
    </row>
    <row r="131" spans="1:16">
      <c r="A131" s="45">
        <v>2010</v>
      </c>
      <c r="B131" s="45" t="s">
        <v>109</v>
      </c>
      <c r="C131" s="45" t="s">
        <v>43</v>
      </c>
      <c r="D131" s="45" t="s">
        <v>274</v>
      </c>
      <c r="E131" s="45">
        <v>16389</v>
      </c>
      <c r="F131" s="45"/>
      <c r="G131" s="45"/>
      <c r="H131" s="45">
        <v>1802</v>
      </c>
      <c r="N131" s="42" t="s">
        <v>269</v>
      </c>
      <c r="O131" s="48">
        <v>0.11</v>
      </c>
      <c r="P131" s="42">
        <f t="shared" si="1"/>
        <v>1802</v>
      </c>
    </row>
    <row r="132" spans="1:16">
      <c r="A132" s="44">
        <v>2010</v>
      </c>
      <c r="B132" s="44" t="s">
        <v>109</v>
      </c>
      <c r="C132" s="44" t="s">
        <v>43</v>
      </c>
      <c r="D132" s="44" t="s">
        <v>275</v>
      </c>
      <c r="E132" s="44">
        <v>15761</v>
      </c>
      <c r="F132" s="44"/>
      <c r="G132" s="44"/>
      <c r="H132" s="44">
        <v>1733</v>
      </c>
      <c r="N132" s="42" t="s">
        <v>254</v>
      </c>
      <c r="O132" s="48">
        <v>0.11</v>
      </c>
      <c r="P132" s="42">
        <f t="shared" si="1"/>
        <v>1733</v>
      </c>
    </row>
    <row r="133" spans="1:16">
      <c r="A133" s="45">
        <v>2010</v>
      </c>
      <c r="B133" s="45" t="s">
        <v>109</v>
      </c>
      <c r="C133" s="45" t="s">
        <v>43</v>
      </c>
      <c r="D133" s="45" t="s">
        <v>276</v>
      </c>
      <c r="E133" s="45">
        <v>10079</v>
      </c>
      <c r="F133" s="45"/>
      <c r="G133" s="45"/>
      <c r="H133" s="45">
        <v>1108</v>
      </c>
      <c r="N133" s="42" t="s">
        <v>270</v>
      </c>
      <c r="O133" s="48">
        <v>0.11</v>
      </c>
      <c r="P133" s="42">
        <f t="shared" si="1"/>
        <v>1108</v>
      </c>
    </row>
    <row r="134" spans="1:16">
      <c r="A134" s="44">
        <v>2010</v>
      </c>
      <c r="B134" s="44" t="s">
        <v>109</v>
      </c>
      <c r="C134" s="44" t="s">
        <v>43</v>
      </c>
      <c r="D134" s="44" t="s">
        <v>277</v>
      </c>
      <c r="E134" s="44">
        <v>8739</v>
      </c>
      <c r="F134" s="44"/>
      <c r="G134" s="44"/>
      <c r="H134" s="44">
        <v>961</v>
      </c>
      <c r="N134" s="42" t="s">
        <v>271</v>
      </c>
      <c r="O134" s="48">
        <v>0.11</v>
      </c>
      <c r="P134" s="42">
        <f t="shared" si="1"/>
        <v>961</v>
      </c>
    </row>
    <row r="135" spans="1:16">
      <c r="A135" s="45">
        <v>2010</v>
      </c>
      <c r="B135" s="45" t="s">
        <v>109</v>
      </c>
      <c r="C135" s="45" t="s">
        <v>43</v>
      </c>
      <c r="D135" s="45" t="s">
        <v>278</v>
      </c>
      <c r="E135" s="45">
        <v>7442</v>
      </c>
      <c r="F135" s="45"/>
      <c r="G135" s="45"/>
      <c r="H135" s="45">
        <v>818</v>
      </c>
      <c r="N135" s="42" t="s">
        <v>272</v>
      </c>
      <c r="O135" s="48">
        <v>0.11</v>
      </c>
      <c r="P135" s="42">
        <f t="shared" si="1"/>
        <v>818</v>
      </c>
    </row>
    <row r="136" spans="1:16">
      <c r="A136" s="44">
        <v>2010</v>
      </c>
      <c r="B136" s="44" t="s">
        <v>109</v>
      </c>
      <c r="C136" s="44" t="s">
        <v>43</v>
      </c>
      <c r="D136" s="44" t="s">
        <v>279</v>
      </c>
      <c r="E136" s="44">
        <v>6003</v>
      </c>
      <c r="F136" s="44"/>
      <c r="G136" s="44"/>
      <c r="H136" s="44">
        <v>780</v>
      </c>
      <c r="N136" s="42" t="s">
        <v>273</v>
      </c>
      <c r="O136" s="48">
        <v>0.11</v>
      </c>
      <c r="P136" s="42">
        <f t="shared" si="1"/>
        <v>660</v>
      </c>
    </row>
    <row r="137" spans="1:16">
      <c r="A137" s="45">
        <v>2010</v>
      </c>
      <c r="B137" s="45" t="s">
        <v>109</v>
      </c>
      <c r="C137" s="45" t="s">
        <v>43</v>
      </c>
      <c r="D137" s="45" t="s">
        <v>280</v>
      </c>
      <c r="E137" s="45">
        <v>3571</v>
      </c>
      <c r="F137" s="45"/>
      <c r="G137" s="45"/>
      <c r="H137" s="45">
        <v>464</v>
      </c>
      <c r="N137" s="42" t="s">
        <v>274</v>
      </c>
      <c r="O137" s="48">
        <v>0.11</v>
      </c>
      <c r="P137" s="42">
        <f t="shared" si="1"/>
        <v>392</v>
      </c>
    </row>
    <row r="138" spans="1:16">
      <c r="A138" s="44">
        <v>2010</v>
      </c>
      <c r="B138" s="44" t="s">
        <v>109</v>
      </c>
      <c r="C138" s="44" t="s">
        <v>43</v>
      </c>
      <c r="D138" s="44" t="s">
        <v>281</v>
      </c>
      <c r="E138" s="44">
        <v>2303</v>
      </c>
      <c r="F138" s="44"/>
      <c r="G138" s="44"/>
      <c r="H138" s="44">
        <v>299</v>
      </c>
      <c r="N138" s="42" t="s">
        <v>275</v>
      </c>
      <c r="O138" s="48">
        <v>0.11</v>
      </c>
      <c r="P138" s="42">
        <f t="shared" ref="P138:P201" si="2">INT(E138*O138)</f>
        <v>253</v>
      </c>
    </row>
    <row r="139" spans="1:16">
      <c r="A139" s="45">
        <v>2010</v>
      </c>
      <c r="B139" s="45" t="s">
        <v>109</v>
      </c>
      <c r="C139" s="45" t="s">
        <v>43</v>
      </c>
      <c r="D139" s="45" t="s">
        <v>282</v>
      </c>
      <c r="E139" s="45">
        <v>961</v>
      </c>
      <c r="F139" s="45"/>
      <c r="G139" s="45"/>
      <c r="H139" s="45">
        <v>124</v>
      </c>
      <c r="N139" s="42" t="s">
        <v>276</v>
      </c>
      <c r="O139" s="48">
        <v>0.11</v>
      </c>
      <c r="P139" s="42">
        <f t="shared" si="2"/>
        <v>105</v>
      </c>
    </row>
    <row r="140" spans="1:16">
      <c r="A140" s="44">
        <v>2010</v>
      </c>
      <c r="B140" s="44" t="s">
        <v>109</v>
      </c>
      <c r="C140" s="44" t="s">
        <v>43</v>
      </c>
      <c r="D140" s="44" t="s">
        <v>283</v>
      </c>
      <c r="E140" s="44">
        <v>584</v>
      </c>
      <c r="F140" s="44"/>
      <c r="G140" s="44"/>
      <c r="H140" s="44">
        <v>75</v>
      </c>
      <c r="N140" s="42" t="s">
        <v>277</v>
      </c>
      <c r="O140" s="48">
        <v>0.11</v>
      </c>
      <c r="P140" s="42">
        <f t="shared" si="2"/>
        <v>64</v>
      </c>
    </row>
    <row r="141" spans="1:16">
      <c r="A141" s="45">
        <v>2010</v>
      </c>
      <c r="B141" s="45" t="s">
        <v>109</v>
      </c>
      <c r="C141" s="45" t="s">
        <v>43</v>
      </c>
      <c r="D141" s="45" t="s">
        <v>284</v>
      </c>
      <c r="E141" s="45">
        <v>481</v>
      </c>
      <c r="F141" s="45"/>
      <c r="G141" s="45"/>
      <c r="H141" s="45">
        <v>62</v>
      </c>
      <c r="N141" s="42" t="s">
        <v>278</v>
      </c>
      <c r="O141" s="48">
        <v>0.11</v>
      </c>
      <c r="P141" s="42">
        <f t="shared" si="2"/>
        <v>52</v>
      </c>
    </row>
    <row r="142" spans="1:16">
      <c r="A142" s="45">
        <v>2010</v>
      </c>
      <c r="B142" s="45" t="s">
        <v>108</v>
      </c>
      <c r="C142" s="45" t="s">
        <v>43</v>
      </c>
      <c r="D142" s="45" t="s">
        <v>267</v>
      </c>
      <c r="E142" s="45">
        <v>81609</v>
      </c>
      <c r="F142" s="45"/>
      <c r="G142" s="45"/>
      <c r="H142" s="45">
        <v>10609</v>
      </c>
      <c r="N142" s="42" t="s">
        <v>279</v>
      </c>
      <c r="O142" s="48">
        <v>0.13</v>
      </c>
      <c r="P142" s="42">
        <f t="shared" si="2"/>
        <v>10609</v>
      </c>
    </row>
    <row r="143" spans="1:16">
      <c r="A143" s="44">
        <v>2010</v>
      </c>
      <c r="B143" s="44" t="s">
        <v>108</v>
      </c>
      <c r="C143" s="44" t="s">
        <v>43</v>
      </c>
      <c r="D143" s="44" t="s">
        <v>268</v>
      </c>
      <c r="E143" s="44">
        <v>58713</v>
      </c>
      <c r="F143" s="44"/>
      <c r="G143" s="44"/>
      <c r="H143" s="44">
        <v>6458</v>
      </c>
      <c r="N143" s="42" t="s">
        <v>280</v>
      </c>
      <c r="O143" s="48">
        <v>0.13</v>
      </c>
      <c r="P143" s="42">
        <f t="shared" si="2"/>
        <v>7632</v>
      </c>
    </row>
    <row r="144" spans="1:16">
      <c r="A144" s="45">
        <v>2010</v>
      </c>
      <c r="B144" s="45" t="s">
        <v>108</v>
      </c>
      <c r="C144" s="45" t="s">
        <v>43</v>
      </c>
      <c r="D144" s="45" t="s">
        <v>269</v>
      </c>
      <c r="E144" s="45">
        <v>46360</v>
      </c>
      <c r="F144" s="45"/>
      <c r="G144" s="45"/>
      <c r="H144" s="45">
        <v>5099</v>
      </c>
      <c r="N144" s="42" t="s">
        <v>281</v>
      </c>
      <c r="O144" s="48">
        <v>0.13</v>
      </c>
      <c r="P144" s="42">
        <f t="shared" si="2"/>
        <v>6026</v>
      </c>
    </row>
    <row r="145" spans="1:16">
      <c r="A145" s="44">
        <v>2010</v>
      </c>
      <c r="B145" s="44" t="s">
        <v>108</v>
      </c>
      <c r="C145" s="44" t="s">
        <v>43</v>
      </c>
      <c r="D145" s="44" t="s">
        <v>254</v>
      </c>
      <c r="E145" s="44">
        <v>40302</v>
      </c>
      <c r="F145" s="44"/>
      <c r="G145" s="44"/>
      <c r="H145" s="44">
        <v>4433</v>
      </c>
      <c r="N145" s="42" t="s">
        <v>282</v>
      </c>
      <c r="O145" s="48">
        <v>0.13</v>
      </c>
      <c r="P145" s="42">
        <f t="shared" si="2"/>
        <v>5239</v>
      </c>
    </row>
    <row r="146" spans="1:16">
      <c r="A146" s="45">
        <v>2010</v>
      </c>
      <c r="B146" s="45" t="s">
        <v>108</v>
      </c>
      <c r="C146" s="45" t="s">
        <v>43</v>
      </c>
      <c r="D146" s="45" t="s">
        <v>270</v>
      </c>
      <c r="E146" s="45">
        <v>31350</v>
      </c>
      <c r="F146" s="45"/>
      <c r="G146" s="45"/>
      <c r="H146" s="45">
        <v>3448</v>
      </c>
      <c r="N146" s="42" t="s">
        <v>283</v>
      </c>
      <c r="O146" s="48">
        <v>0.13</v>
      </c>
      <c r="P146" s="42">
        <f t="shared" si="2"/>
        <v>4075</v>
      </c>
    </row>
    <row r="147" spans="1:16">
      <c r="A147" s="44">
        <v>2010</v>
      </c>
      <c r="B147" s="44" t="s">
        <v>108</v>
      </c>
      <c r="C147" s="44" t="s">
        <v>43</v>
      </c>
      <c r="D147" s="44" t="s">
        <v>271</v>
      </c>
      <c r="E147" s="44">
        <v>28695</v>
      </c>
      <c r="F147" s="44"/>
      <c r="G147" s="44"/>
      <c r="H147" s="44">
        <v>3156</v>
      </c>
      <c r="N147" s="42" t="s">
        <v>284</v>
      </c>
      <c r="O147" s="48">
        <v>0.13</v>
      </c>
      <c r="P147" s="42">
        <f t="shared" si="2"/>
        <v>3730</v>
      </c>
    </row>
    <row r="148" spans="1:16">
      <c r="A148" s="45">
        <v>2010</v>
      </c>
      <c r="B148" s="45" t="s">
        <v>108</v>
      </c>
      <c r="C148" s="45" t="s">
        <v>43</v>
      </c>
      <c r="D148" s="45" t="s">
        <v>272</v>
      </c>
      <c r="E148" s="45">
        <v>18680</v>
      </c>
      <c r="F148" s="45"/>
      <c r="G148" s="45"/>
      <c r="H148" s="45">
        <v>2054</v>
      </c>
      <c r="P148" s="42">
        <f t="shared" si="2"/>
        <v>0</v>
      </c>
    </row>
    <row r="149" spans="1:16">
      <c r="A149" s="44">
        <v>2010</v>
      </c>
      <c r="B149" s="44" t="s">
        <v>108</v>
      </c>
      <c r="C149" s="44" t="s">
        <v>43</v>
      </c>
      <c r="D149" s="44" t="s">
        <v>273</v>
      </c>
      <c r="E149" s="44">
        <v>16346</v>
      </c>
      <c r="F149" s="44"/>
      <c r="G149" s="44"/>
      <c r="H149" s="44">
        <v>1798</v>
      </c>
      <c r="N149" s="42" t="s">
        <v>267</v>
      </c>
      <c r="O149" s="48">
        <v>0.13</v>
      </c>
      <c r="P149" s="42">
        <f t="shared" si="2"/>
        <v>2124</v>
      </c>
    </row>
    <row r="150" spans="1:16">
      <c r="A150" s="45">
        <v>2010</v>
      </c>
      <c r="B150" s="45" t="s">
        <v>108</v>
      </c>
      <c r="C150" s="45" t="s">
        <v>43</v>
      </c>
      <c r="D150" s="45" t="s">
        <v>274</v>
      </c>
      <c r="E150" s="45">
        <v>10695</v>
      </c>
      <c r="F150" s="45"/>
      <c r="G150" s="45"/>
      <c r="H150" s="45">
        <v>1176</v>
      </c>
      <c r="N150" s="42" t="s">
        <v>268</v>
      </c>
      <c r="O150" s="48">
        <v>0.11</v>
      </c>
      <c r="P150" s="42">
        <f t="shared" si="2"/>
        <v>1176</v>
      </c>
    </row>
    <row r="151" spans="1:16">
      <c r="A151" s="44">
        <v>2010</v>
      </c>
      <c r="B151" s="44" t="s">
        <v>108</v>
      </c>
      <c r="C151" s="44" t="s">
        <v>43</v>
      </c>
      <c r="D151" s="44" t="s">
        <v>275</v>
      </c>
      <c r="E151" s="44">
        <v>9846</v>
      </c>
      <c r="F151" s="44"/>
      <c r="G151" s="44"/>
      <c r="H151" s="44">
        <v>1083</v>
      </c>
      <c r="N151" s="42" t="s">
        <v>269</v>
      </c>
      <c r="O151" s="48">
        <v>0.11</v>
      </c>
      <c r="P151" s="42">
        <f t="shared" si="2"/>
        <v>1083</v>
      </c>
    </row>
    <row r="152" spans="1:16">
      <c r="A152" s="45">
        <v>2010</v>
      </c>
      <c r="B152" s="45" t="s">
        <v>108</v>
      </c>
      <c r="C152" s="45" t="s">
        <v>43</v>
      </c>
      <c r="D152" s="45" t="s">
        <v>276</v>
      </c>
      <c r="E152" s="45">
        <v>6479</v>
      </c>
      <c r="F152" s="45"/>
      <c r="G152" s="45"/>
      <c r="H152" s="45">
        <v>712</v>
      </c>
      <c r="N152" s="42" t="s">
        <v>254</v>
      </c>
      <c r="O152" s="48">
        <v>0.11</v>
      </c>
      <c r="P152" s="42">
        <f t="shared" si="2"/>
        <v>712</v>
      </c>
    </row>
    <row r="153" spans="1:16">
      <c r="A153" s="44">
        <v>2010</v>
      </c>
      <c r="B153" s="44" t="s">
        <v>108</v>
      </c>
      <c r="C153" s="44" t="s">
        <v>43</v>
      </c>
      <c r="D153" s="44" t="s">
        <v>277</v>
      </c>
      <c r="E153" s="44">
        <v>5321</v>
      </c>
      <c r="F153" s="44"/>
      <c r="G153" s="44"/>
      <c r="H153" s="44">
        <v>585</v>
      </c>
      <c r="N153" s="42" t="s">
        <v>270</v>
      </c>
      <c r="O153" s="48">
        <v>0.11</v>
      </c>
      <c r="P153" s="42">
        <f t="shared" si="2"/>
        <v>585</v>
      </c>
    </row>
    <row r="154" spans="1:16">
      <c r="A154" s="45">
        <v>2010</v>
      </c>
      <c r="B154" s="45" t="s">
        <v>108</v>
      </c>
      <c r="C154" s="45" t="s">
        <v>43</v>
      </c>
      <c r="D154" s="45" t="s">
        <v>278</v>
      </c>
      <c r="E154" s="45">
        <v>4560</v>
      </c>
      <c r="F154" s="45"/>
      <c r="G154" s="45"/>
      <c r="H154" s="45">
        <v>501</v>
      </c>
      <c r="N154" s="42" t="s">
        <v>271</v>
      </c>
      <c r="O154" s="48">
        <v>0.11</v>
      </c>
      <c r="P154" s="42">
        <f t="shared" si="2"/>
        <v>501</v>
      </c>
    </row>
    <row r="155" spans="1:16">
      <c r="A155" s="44">
        <v>2010</v>
      </c>
      <c r="B155" s="44" t="s">
        <v>108</v>
      </c>
      <c r="C155" s="44" t="s">
        <v>43</v>
      </c>
      <c r="D155" s="44" t="s">
        <v>279</v>
      </c>
      <c r="E155" s="44">
        <v>3928</v>
      </c>
      <c r="F155" s="44"/>
      <c r="G155" s="44"/>
      <c r="H155" s="44">
        <v>510</v>
      </c>
      <c r="N155" s="42" t="s">
        <v>272</v>
      </c>
      <c r="O155" s="48">
        <v>0.11</v>
      </c>
      <c r="P155" s="42">
        <f t="shared" si="2"/>
        <v>432</v>
      </c>
    </row>
    <row r="156" spans="1:16">
      <c r="A156" s="45">
        <v>2010</v>
      </c>
      <c r="B156" s="45" t="s">
        <v>108</v>
      </c>
      <c r="C156" s="45" t="s">
        <v>43</v>
      </c>
      <c r="D156" s="45" t="s">
        <v>280</v>
      </c>
      <c r="E156" s="45">
        <v>2496</v>
      </c>
      <c r="F156" s="45"/>
      <c r="G156" s="45"/>
      <c r="H156" s="45">
        <v>324</v>
      </c>
      <c r="N156" s="42" t="s">
        <v>273</v>
      </c>
      <c r="O156" s="48">
        <v>0.11</v>
      </c>
      <c r="P156" s="42">
        <f t="shared" si="2"/>
        <v>274</v>
      </c>
    </row>
    <row r="157" spans="1:16">
      <c r="A157" s="44">
        <v>2010</v>
      </c>
      <c r="B157" s="44" t="s">
        <v>108</v>
      </c>
      <c r="C157" s="44" t="s">
        <v>43</v>
      </c>
      <c r="D157" s="44" t="s">
        <v>281</v>
      </c>
      <c r="E157" s="44">
        <v>1850</v>
      </c>
      <c r="F157" s="44"/>
      <c r="G157" s="44"/>
      <c r="H157" s="44">
        <v>240</v>
      </c>
      <c r="N157" s="42" t="s">
        <v>274</v>
      </c>
      <c r="O157" s="48">
        <v>0.11</v>
      </c>
      <c r="P157" s="42">
        <f t="shared" si="2"/>
        <v>203</v>
      </c>
    </row>
    <row r="158" spans="1:16">
      <c r="A158" s="45">
        <v>2010</v>
      </c>
      <c r="B158" s="45" t="s">
        <v>108</v>
      </c>
      <c r="C158" s="45" t="s">
        <v>43</v>
      </c>
      <c r="D158" s="45" t="s">
        <v>282</v>
      </c>
      <c r="E158" s="45">
        <v>752</v>
      </c>
      <c r="F158" s="45"/>
      <c r="G158" s="45"/>
      <c r="H158" s="45">
        <v>97</v>
      </c>
      <c r="N158" s="42" t="s">
        <v>275</v>
      </c>
      <c r="O158" s="48">
        <v>0.11</v>
      </c>
      <c r="P158" s="42">
        <f t="shared" si="2"/>
        <v>82</v>
      </c>
    </row>
    <row r="159" spans="1:16">
      <c r="A159" s="44">
        <v>2010</v>
      </c>
      <c r="B159" s="44" t="s">
        <v>108</v>
      </c>
      <c r="C159" s="44" t="s">
        <v>43</v>
      </c>
      <c r="D159" s="44" t="s">
        <v>283</v>
      </c>
      <c r="E159" s="44">
        <v>434</v>
      </c>
      <c r="F159" s="44"/>
      <c r="G159" s="44"/>
      <c r="H159" s="44">
        <v>56</v>
      </c>
      <c r="N159" s="42" t="s">
        <v>276</v>
      </c>
      <c r="O159" s="48">
        <v>0.11</v>
      </c>
      <c r="P159" s="42">
        <f t="shared" si="2"/>
        <v>47</v>
      </c>
    </row>
    <row r="160" spans="1:16">
      <c r="A160" s="45">
        <v>2010</v>
      </c>
      <c r="B160" s="45" t="s">
        <v>108</v>
      </c>
      <c r="C160" s="45" t="s">
        <v>43</v>
      </c>
      <c r="D160" s="45" t="s">
        <v>284</v>
      </c>
      <c r="E160" s="45">
        <v>487</v>
      </c>
      <c r="F160" s="45"/>
      <c r="G160" s="45"/>
      <c r="H160" s="45">
        <v>63</v>
      </c>
      <c r="N160" s="42" t="s">
        <v>277</v>
      </c>
      <c r="O160" s="48">
        <v>0.11</v>
      </c>
      <c r="P160" s="42">
        <f t="shared" si="2"/>
        <v>53</v>
      </c>
    </row>
    <row r="161" spans="1:16">
      <c r="A161" s="45">
        <v>2010</v>
      </c>
      <c r="B161" s="45" t="s">
        <v>110</v>
      </c>
      <c r="C161" s="45" t="s">
        <v>43</v>
      </c>
      <c r="D161" s="45" t="s">
        <v>267</v>
      </c>
      <c r="E161" s="45">
        <v>172362</v>
      </c>
      <c r="F161" s="45"/>
      <c r="G161" s="45"/>
      <c r="H161" s="45">
        <v>22407</v>
      </c>
      <c r="N161" s="42" t="s">
        <v>278</v>
      </c>
      <c r="O161" s="48">
        <v>0.11</v>
      </c>
      <c r="P161" s="42">
        <f t="shared" si="2"/>
        <v>18959</v>
      </c>
    </row>
    <row r="162" spans="1:16">
      <c r="A162" s="44">
        <v>2010</v>
      </c>
      <c r="B162" s="44" t="s">
        <v>110</v>
      </c>
      <c r="C162" s="44" t="s">
        <v>43</v>
      </c>
      <c r="D162" s="44" t="s">
        <v>268</v>
      </c>
      <c r="E162" s="44">
        <v>124846</v>
      </c>
      <c r="F162" s="44"/>
      <c r="G162" s="44"/>
      <c r="H162" s="44">
        <v>13733</v>
      </c>
      <c r="N162" s="42" t="s">
        <v>279</v>
      </c>
      <c r="O162" s="48">
        <v>0.13</v>
      </c>
      <c r="P162" s="42">
        <f t="shared" si="2"/>
        <v>16229</v>
      </c>
    </row>
    <row r="163" spans="1:16">
      <c r="A163" s="45">
        <v>2010</v>
      </c>
      <c r="B163" s="45" t="s">
        <v>110</v>
      </c>
      <c r="C163" s="45" t="s">
        <v>43</v>
      </c>
      <c r="D163" s="45" t="s">
        <v>269</v>
      </c>
      <c r="E163" s="45">
        <v>102855</v>
      </c>
      <c r="F163" s="45"/>
      <c r="G163" s="45"/>
      <c r="H163" s="45">
        <v>11314</v>
      </c>
      <c r="N163" s="42" t="s">
        <v>280</v>
      </c>
      <c r="O163" s="48">
        <v>0.13</v>
      </c>
      <c r="P163" s="42">
        <f t="shared" si="2"/>
        <v>13371</v>
      </c>
    </row>
    <row r="164" spans="1:16">
      <c r="A164" s="44">
        <v>2010</v>
      </c>
      <c r="B164" s="44" t="s">
        <v>110</v>
      </c>
      <c r="C164" s="44" t="s">
        <v>43</v>
      </c>
      <c r="D164" s="44" t="s">
        <v>254</v>
      </c>
      <c r="E164" s="44">
        <v>93318</v>
      </c>
      <c r="F164" s="44"/>
      <c r="G164" s="44"/>
      <c r="H164" s="44">
        <v>10264</v>
      </c>
      <c r="N164" s="42" t="s">
        <v>281</v>
      </c>
      <c r="O164" s="48">
        <v>0.13</v>
      </c>
      <c r="P164" s="42">
        <f t="shared" si="2"/>
        <v>12131</v>
      </c>
    </row>
    <row r="165" spans="1:16">
      <c r="A165" s="45">
        <v>2010</v>
      </c>
      <c r="B165" s="45" t="s">
        <v>110</v>
      </c>
      <c r="C165" s="45" t="s">
        <v>43</v>
      </c>
      <c r="D165" s="45" t="s">
        <v>270</v>
      </c>
      <c r="E165" s="45">
        <v>72916</v>
      </c>
      <c r="F165" s="45"/>
      <c r="G165" s="45"/>
      <c r="H165" s="45">
        <v>8020</v>
      </c>
      <c r="N165" s="42" t="s">
        <v>282</v>
      </c>
      <c r="O165" s="48">
        <v>0.13</v>
      </c>
      <c r="P165" s="42">
        <f t="shared" si="2"/>
        <v>9479</v>
      </c>
    </row>
    <row r="166" spans="1:16">
      <c r="A166" s="44">
        <v>2010</v>
      </c>
      <c r="B166" s="44" t="s">
        <v>110</v>
      </c>
      <c r="C166" s="44" t="s">
        <v>43</v>
      </c>
      <c r="D166" s="44" t="s">
        <v>271</v>
      </c>
      <c r="E166" s="44">
        <v>63790</v>
      </c>
      <c r="F166" s="44"/>
      <c r="G166" s="44"/>
      <c r="H166" s="44">
        <v>7016</v>
      </c>
      <c r="N166" s="42" t="s">
        <v>283</v>
      </c>
      <c r="O166" s="48">
        <v>0.13</v>
      </c>
      <c r="P166" s="42">
        <f t="shared" si="2"/>
        <v>8292</v>
      </c>
    </row>
    <row r="167" spans="1:16">
      <c r="A167" s="45">
        <v>2010</v>
      </c>
      <c r="B167" s="45" t="s">
        <v>110</v>
      </c>
      <c r="C167" s="45" t="s">
        <v>43</v>
      </c>
      <c r="D167" s="45" t="s">
        <v>272</v>
      </c>
      <c r="E167" s="45">
        <v>45472</v>
      </c>
      <c r="F167" s="45"/>
      <c r="G167" s="45"/>
      <c r="H167" s="45">
        <v>5001</v>
      </c>
      <c r="N167" s="42" t="s">
        <v>284</v>
      </c>
      <c r="O167" s="48">
        <v>0.13</v>
      </c>
      <c r="P167" s="42">
        <f t="shared" si="2"/>
        <v>5911</v>
      </c>
    </row>
    <row r="168" spans="1:16">
      <c r="A168" s="44">
        <v>2010</v>
      </c>
      <c r="B168" s="44" t="s">
        <v>110</v>
      </c>
      <c r="C168" s="44" t="s">
        <v>43</v>
      </c>
      <c r="D168" s="44" t="s">
        <v>273</v>
      </c>
      <c r="E168" s="44">
        <v>35493</v>
      </c>
      <c r="F168" s="44"/>
      <c r="G168" s="44"/>
      <c r="H168" s="44">
        <v>3904</v>
      </c>
      <c r="P168" s="42">
        <f t="shared" si="2"/>
        <v>0</v>
      </c>
    </row>
    <row r="169" spans="1:16">
      <c r="A169" s="45">
        <v>2010</v>
      </c>
      <c r="B169" s="45" t="s">
        <v>110</v>
      </c>
      <c r="C169" s="45" t="s">
        <v>43</v>
      </c>
      <c r="D169" s="45" t="s">
        <v>274</v>
      </c>
      <c r="E169" s="45">
        <v>23989</v>
      </c>
      <c r="F169" s="45"/>
      <c r="G169" s="45"/>
      <c r="H169" s="45">
        <v>2638</v>
      </c>
      <c r="N169" s="42" t="s">
        <v>267</v>
      </c>
      <c r="O169" s="48">
        <v>0.13</v>
      </c>
      <c r="P169" s="42">
        <f t="shared" si="2"/>
        <v>3118</v>
      </c>
    </row>
    <row r="170" spans="1:16">
      <c r="A170" s="44">
        <v>2010</v>
      </c>
      <c r="B170" s="44" t="s">
        <v>110</v>
      </c>
      <c r="C170" s="44" t="s">
        <v>43</v>
      </c>
      <c r="D170" s="44" t="s">
        <v>275</v>
      </c>
      <c r="E170" s="44">
        <v>20845</v>
      </c>
      <c r="F170" s="44"/>
      <c r="G170" s="44"/>
      <c r="H170" s="44">
        <v>2292</v>
      </c>
      <c r="N170" s="42" t="s">
        <v>268</v>
      </c>
      <c r="O170" s="48">
        <v>0.11</v>
      </c>
      <c r="P170" s="42">
        <f t="shared" si="2"/>
        <v>2292</v>
      </c>
    </row>
    <row r="171" spans="1:16">
      <c r="A171" s="45">
        <v>2010</v>
      </c>
      <c r="B171" s="45" t="s">
        <v>110</v>
      </c>
      <c r="C171" s="45" t="s">
        <v>43</v>
      </c>
      <c r="D171" s="45" t="s">
        <v>276</v>
      </c>
      <c r="E171" s="45">
        <v>14565</v>
      </c>
      <c r="F171" s="45"/>
      <c r="G171" s="45"/>
      <c r="H171" s="45">
        <v>1602</v>
      </c>
      <c r="N171" s="42" t="s">
        <v>269</v>
      </c>
      <c r="O171" s="48">
        <v>0.11</v>
      </c>
      <c r="P171" s="42">
        <f t="shared" si="2"/>
        <v>1602</v>
      </c>
    </row>
    <row r="172" spans="1:16">
      <c r="A172" s="44">
        <v>2010</v>
      </c>
      <c r="B172" s="44" t="s">
        <v>110</v>
      </c>
      <c r="C172" s="44" t="s">
        <v>43</v>
      </c>
      <c r="D172" s="44" t="s">
        <v>277</v>
      </c>
      <c r="E172" s="44">
        <v>10214</v>
      </c>
      <c r="F172" s="44"/>
      <c r="G172" s="44"/>
      <c r="H172" s="44">
        <v>1123</v>
      </c>
      <c r="N172" s="42" t="s">
        <v>254</v>
      </c>
      <c r="O172" s="48">
        <v>0.11</v>
      </c>
      <c r="P172" s="42">
        <f t="shared" si="2"/>
        <v>1123</v>
      </c>
    </row>
    <row r="173" spans="1:16">
      <c r="A173" s="45">
        <v>2010</v>
      </c>
      <c r="B173" s="45" t="s">
        <v>110</v>
      </c>
      <c r="C173" s="45" t="s">
        <v>43</v>
      </c>
      <c r="D173" s="45" t="s">
        <v>278</v>
      </c>
      <c r="E173" s="45">
        <v>9225</v>
      </c>
      <c r="F173" s="45"/>
      <c r="G173" s="45"/>
      <c r="H173" s="45">
        <v>1014</v>
      </c>
      <c r="N173" s="42" t="s">
        <v>270</v>
      </c>
      <c r="O173" s="48">
        <v>0.11</v>
      </c>
      <c r="P173" s="42">
        <f t="shared" si="2"/>
        <v>1014</v>
      </c>
    </row>
    <row r="174" spans="1:16">
      <c r="A174" s="44">
        <v>2010</v>
      </c>
      <c r="B174" s="44" t="s">
        <v>110</v>
      </c>
      <c r="C174" s="44" t="s">
        <v>43</v>
      </c>
      <c r="D174" s="44" t="s">
        <v>279</v>
      </c>
      <c r="E174" s="44">
        <v>7588</v>
      </c>
      <c r="F174" s="44"/>
      <c r="G174" s="44"/>
      <c r="H174" s="44">
        <v>986</v>
      </c>
      <c r="N174" s="42" t="s">
        <v>271</v>
      </c>
      <c r="O174" s="48">
        <v>0.11</v>
      </c>
      <c r="P174" s="42">
        <f t="shared" si="2"/>
        <v>834</v>
      </c>
    </row>
    <row r="175" spans="1:16">
      <c r="A175" s="45">
        <v>2010</v>
      </c>
      <c r="B175" s="45" t="s">
        <v>110</v>
      </c>
      <c r="C175" s="45" t="s">
        <v>43</v>
      </c>
      <c r="D175" s="45" t="s">
        <v>280</v>
      </c>
      <c r="E175" s="45">
        <v>5582</v>
      </c>
      <c r="F175" s="45"/>
      <c r="G175" s="45"/>
      <c r="H175" s="45">
        <v>725</v>
      </c>
      <c r="N175" s="42" t="s">
        <v>272</v>
      </c>
      <c r="O175" s="48">
        <v>0.11</v>
      </c>
      <c r="P175" s="42">
        <f t="shared" si="2"/>
        <v>614</v>
      </c>
    </row>
    <row r="176" spans="1:16">
      <c r="A176" s="44">
        <v>2010</v>
      </c>
      <c r="B176" s="44" t="s">
        <v>110</v>
      </c>
      <c r="C176" s="44" t="s">
        <v>43</v>
      </c>
      <c r="D176" s="44" t="s">
        <v>281</v>
      </c>
      <c r="E176" s="44">
        <v>3576</v>
      </c>
      <c r="F176" s="44"/>
      <c r="G176" s="44"/>
      <c r="H176" s="44">
        <v>464</v>
      </c>
      <c r="N176" s="42" t="s">
        <v>273</v>
      </c>
      <c r="O176" s="48">
        <v>0.11</v>
      </c>
      <c r="P176" s="42">
        <f t="shared" si="2"/>
        <v>393</v>
      </c>
    </row>
    <row r="177" spans="1:16">
      <c r="A177" s="45">
        <v>2010</v>
      </c>
      <c r="B177" s="45" t="s">
        <v>110</v>
      </c>
      <c r="C177" s="45" t="s">
        <v>43</v>
      </c>
      <c r="D177" s="45" t="s">
        <v>282</v>
      </c>
      <c r="E177" s="45">
        <v>1699</v>
      </c>
      <c r="F177" s="45"/>
      <c r="G177" s="45"/>
      <c r="H177" s="45">
        <v>220</v>
      </c>
      <c r="N177" s="42" t="s">
        <v>274</v>
      </c>
      <c r="O177" s="48">
        <v>0.11</v>
      </c>
      <c r="P177" s="42">
        <f t="shared" si="2"/>
        <v>186</v>
      </c>
    </row>
    <row r="178" spans="1:16">
      <c r="A178" s="44">
        <v>2010</v>
      </c>
      <c r="B178" s="44" t="s">
        <v>110</v>
      </c>
      <c r="C178" s="44" t="s">
        <v>43</v>
      </c>
      <c r="D178" s="44" t="s">
        <v>283</v>
      </c>
      <c r="E178" s="44">
        <v>1018</v>
      </c>
      <c r="F178" s="44"/>
      <c r="G178" s="44"/>
      <c r="H178" s="44">
        <v>132</v>
      </c>
      <c r="N178" s="42" t="s">
        <v>275</v>
      </c>
      <c r="O178" s="48">
        <v>0.11</v>
      </c>
      <c r="P178" s="42">
        <f t="shared" si="2"/>
        <v>111</v>
      </c>
    </row>
    <row r="179" spans="1:16">
      <c r="A179" s="45">
        <v>2010</v>
      </c>
      <c r="B179" s="45" t="s">
        <v>110</v>
      </c>
      <c r="C179" s="45" t="s">
        <v>43</v>
      </c>
      <c r="D179" s="45" t="s">
        <v>284</v>
      </c>
      <c r="E179" s="45">
        <v>914</v>
      </c>
      <c r="F179" s="45"/>
      <c r="G179" s="45"/>
      <c r="H179" s="45">
        <v>118</v>
      </c>
      <c r="N179" s="42" t="s">
        <v>276</v>
      </c>
      <c r="O179" s="48">
        <v>0.11</v>
      </c>
      <c r="P179" s="42">
        <f t="shared" si="2"/>
        <v>100</v>
      </c>
    </row>
    <row r="180" spans="1:16">
      <c r="A180" s="45">
        <v>2010</v>
      </c>
      <c r="B180" s="45" t="s">
        <v>111</v>
      </c>
      <c r="C180" s="45" t="s">
        <v>43</v>
      </c>
      <c r="D180" s="45" t="s">
        <v>267</v>
      </c>
      <c r="E180" s="45">
        <v>97300</v>
      </c>
      <c r="F180" s="45"/>
      <c r="G180" s="45"/>
      <c r="H180" s="45">
        <v>12649</v>
      </c>
      <c r="N180" s="42" t="s">
        <v>277</v>
      </c>
      <c r="O180" s="48">
        <v>0.11</v>
      </c>
      <c r="P180" s="42">
        <f t="shared" si="2"/>
        <v>10703</v>
      </c>
    </row>
    <row r="181" spans="1:16">
      <c r="A181" s="44">
        <v>2010</v>
      </c>
      <c r="B181" s="44" t="s">
        <v>111</v>
      </c>
      <c r="C181" s="44" t="s">
        <v>43</v>
      </c>
      <c r="D181" s="44" t="s">
        <v>268</v>
      </c>
      <c r="E181" s="44">
        <v>68899</v>
      </c>
      <c r="F181" s="44"/>
      <c r="G181" s="44"/>
      <c r="H181" s="44">
        <v>7578</v>
      </c>
      <c r="N181" s="42" t="s">
        <v>278</v>
      </c>
      <c r="O181" s="48">
        <v>0.11</v>
      </c>
      <c r="P181" s="42">
        <f t="shared" si="2"/>
        <v>7578</v>
      </c>
    </row>
    <row r="182" spans="1:16">
      <c r="A182" s="45">
        <v>2010</v>
      </c>
      <c r="B182" s="45" t="s">
        <v>111</v>
      </c>
      <c r="C182" s="45" t="s">
        <v>43</v>
      </c>
      <c r="D182" s="45" t="s">
        <v>269</v>
      </c>
      <c r="E182" s="45">
        <v>54140</v>
      </c>
      <c r="F182" s="45"/>
      <c r="G182" s="45"/>
      <c r="H182" s="45">
        <v>5955</v>
      </c>
      <c r="N182" s="42" t="s">
        <v>279</v>
      </c>
      <c r="O182" s="48">
        <v>0.13</v>
      </c>
      <c r="P182" s="42">
        <f t="shared" si="2"/>
        <v>7038</v>
      </c>
    </row>
    <row r="183" spans="1:16">
      <c r="A183" s="44">
        <v>2010</v>
      </c>
      <c r="B183" s="44" t="s">
        <v>111</v>
      </c>
      <c r="C183" s="44" t="s">
        <v>43</v>
      </c>
      <c r="D183" s="44" t="s">
        <v>254</v>
      </c>
      <c r="E183" s="44">
        <v>50424</v>
      </c>
      <c r="F183" s="44"/>
      <c r="G183" s="44"/>
      <c r="H183" s="44">
        <v>5546</v>
      </c>
      <c r="N183" s="42" t="s">
        <v>280</v>
      </c>
      <c r="O183" s="48">
        <v>0.13</v>
      </c>
      <c r="P183" s="42">
        <f t="shared" si="2"/>
        <v>6555</v>
      </c>
    </row>
    <row r="184" spans="1:16">
      <c r="A184" s="45">
        <v>2010</v>
      </c>
      <c r="B184" s="45" t="s">
        <v>111</v>
      </c>
      <c r="C184" s="45" t="s">
        <v>43</v>
      </c>
      <c r="D184" s="45" t="s">
        <v>270</v>
      </c>
      <c r="E184" s="45">
        <v>41423</v>
      </c>
      <c r="F184" s="45"/>
      <c r="G184" s="45"/>
      <c r="H184" s="45">
        <v>4556</v>
      </c>
      <c r="N184" s="42" t="s">
        <v>281</v>
      </c>
      <c r="O184" s="48">
        <v>0.13</v>
      </c>
      <c r="P184" s="42">
        <f t="shared" si="2"/>
        <v>5384</v>
      </c>
    </row>
    <row r="185" spans="1:16">
      <c r="A185" s="44">
        <v>2010</v>
      </c>
      <c r="B185" s="44" t="s">
        <v>111</v>
      </c>
      <c r="C185" s="44" t="s">
        <v>43</v>
      </c>
      <c r="D185" s="44" t="s">
        <v>271</v>
      </c>
      <c r="E185" s="44">
        <v>36732</v>
      </c>
      <c r="F185" s="44"/>
      <c r="G185" s="44"/>
      <c r="H185" s="44">
        <v>4040</v>
      </c>
      <c r="N185" s="42" t="s">
        <v>282</v>
      </c>
      <c r="O185" s="48">
        <v>0.13</v>
      </c>
      <c r="P185" s="42">
        <f t="shared" si="2"/>
        <v>4775</v>
      </c>
    </row>
    <row r="186" spans="1:16">
      <c r="A186" s="45">
        <v>2010</v>
      </c>
      <c r="B186" s="45" t="s">
        <v>111</v>
      </c>
      <c r="C186" s="45" t="s">
        <v>43</v>
      </c>
      <c r="D186" s="45" t="s">
        <v>272</v>
      </c>
      <c r="E186" s="45">
        <v>25326</v>
      </c>
      <c r="F186" s="45"/>
      <c r="G186" s="45"/>
      <c r="H186" s="45">
        <v>2785</v>
      </c>
      <c r="N186" s="42" t="s">
        <v>283</v>
      </c>
      <c r="O186" s="48">
        <v>0.13</v>
      </c>
      <c r="P186" s="42">
        <f t="shared" si="2"/>
        <v>3292</v>
      </c>
    </row>
    <row r="187" spans="1:16">
      <c r="A187" s="44">
        <v>2010</v>
      </c>
      <c r="B187" s="44" t="s">
        <v>111</v>
      </c>
      <c r="C187" s="44" t="s">
        <v>43</v>
      </c>
      <c r="D187" s="44" t="s">
        <v>273</v>
      </c>
      <c r="E187" s="44">
        <v>21068</v>
      </c>
      <c r="F187" s="44"/>
      <c r="G187" s="44"/>
      <c r="H187" s="44">
        <v>2317</v>
      </c>
      <c r="N187" s="42" t="s">
        <v>284</v>
      </c>
      <c r="O187" s="48">
        <v>0.13</v>
      </c>
      <c r="P187" s="42">
        <f t="shared" si="2"/>
        <v>2738</v>
      </c>
    </row>
    <row r="188" spans="1:16">
      <c r="A188" s="45">
        <v>2010</v>
      </c>
      <c r="B188" s="45" t="s">
        <v>111</v>
      </c>
      <c r="C188" s="45" t="s">
        <v>43</v>
      </c>
      <c r="D188" s="45" t="s">
        <v>274</v>
      </c>
      <c r="E188" s="45">
        <v>14617</v>
      </c>
      <c r="F188" s="45"/>
      <c r="G188" s="45"/>
      <c r="H188" s="45">
        <v>1607</v>
      </c>
      <c r="P188" s="42">
        <f t="shared" si="2"/>
        <v>0</v>
      </c>
    </row>
    <row r="189" spans="1:16">
      <c r="A189" s="44">
        <v>2010</v>
      </c>
      <c r="B189" s="44" t="s">
        <v>111</v>
      </c>
      <c r="C189" s="44" t="s">
        <v>43</v>
      </c>
      <c r="D189" s="44" t="s">
        <v>275</v>
      </c>
      <c r="E189" s="44">
        <v>14383</v>
      </c>
      <c r="F189" s="44"/>
      <c r="G189" s="44"/>
      <c r="H189" s="44">
        <v>1582</v>
      </c>
      <c r="N189" s="42" t="s">
        <v>267</v>
      </c>
      <c r="O189" s="48">
        <v>0.13</v>
      </c>
      <c r="P189" s="42">
        <f t="shared" si="2"/>
        <v>1869</v>
      </c>
    </row>
    <row r="190" spans="1:16">
      <c r="A190" s="45">
        <v>2010</v>
      </c>
      <c r="B190" s="45" t="s">
        <v>111</v>
      </c>
      <c r="C190" s="45" t="s">
        <v>43</v>
      </c>
      <c r="D190" s="45" t="s">
        <v>276</v>
      </c>
      <c r="E190" s="45">
        <v>10613</v>
      </c>
      <c r="F190" s="45"/>
      <c r="G190" s="45"/>
      <c r="H190" s="45">
        <v>1167</v>
      </c>
      <c r="N190" s="42" t="s">
        <v>268</v>
      </c>
      <c r="O190" s="48">
        <v>0.11</v>
      </c>
      <c r="P190" s="42">
        <f t="shared" si="2"/>
        <v>1167</v>
      </c>
    </row>
    <row r="191" spans="1:16">
      <c r="A191" s="44">
        <v>2010</v>
      </c>
      <c r="B191" s="44" t="s">
        <v>111</v>
      </c>
      <c r="C191" s="44" t="s">
        <v>43</v>
      </c>
      <c r="D191" s="44" t="s">
        <v>277</v>
      </c>
      <c r="E191" s="44">
        <v>8926</v>
      </c>
      <c r="F191" s="44"/>
      <c r="G191" s="44"/>
      <c r="H191" s="44">
        <v>981</v>
      </c>
      <c r="N191" s="42" t="s">
        <v>269</v>
      </c>
      <c r="O191" s="48">
        <v>0.11</v>
      </c>
      <c r="P191" s="42">
        <f t="shared" si="2"/>
        <v>981</v>
      </c>
    </row>
    <row r="192" spans="1:16">
      <c r="A192" s="45">
        <v>2010</v>
      </c>
      <c r="B192" s="45" t="s">
        <v>111</v>
      </c>
      <c r="C192" s="45" t="s">
        <v>43</v>
      </c>
      <c r="D192" s="45" t="s">
        <v>278</v>
      </c>
      <c r="E192" s="45">
        <v>7930</v>
      </c>
      <c r="F192" s="45"/>
      <c r="G192" s="45"/>
      <c r="H192" s="45">
        <v>872</v>
      </c>
      <c r="N192" s="42" t="s">
        <v>254</v>
      </c>
      <c r="O192" s="48">
        <v>0.11</v>
      </c>
      <c r="P192" s="42">
        <f t="shared" si="2"/>
        <v>872</v>
      </c>
    </row>
    <row r="193" spans="1:16">
      <c r="A193" s="44">
        <v>2010</v>
      </c>
      <c r="B193" s="44" t="s">
        <v>111</v>
      </c>
      <c r="C193" s="44" t="s">
        <v>43</v>
      </c>
      <c r="D193" s="44" t="s">
        <v>279</v>
      </c>
      <c r="E193" s="44">
        <v>6346</v>
      </c>
      <c r="F193" s="44"/>
      <c r="G193" s="44"/>
      <c r="H193" s="44">
        <v>824</v>
      </c>
      <c r="N193" s="42" t="s">
        <v>270</v>
      </c>
      <c r="O193" s="48">
        <v>0.11</v>
      </c>
      <c r="P193" s="42">
        <f t="shared" si="2"/>
        <v>698</v>
      </c>
    </row>
    <row r="194" spans="1:16">
      <c r="A194" s="45">
        <v>2010</v>
      </c>
      <c r="B194" s="45" t="s">
        <v>111</v>
      </c>
      <c r="C194" s="45" t="s">
        <v>43</v>
      </c>
      <c r="D194" s="45" t="s">
        <v>280</v>
      </c>
      <c r="E194" s="45">
        <v>4325</v>
      </c>
      <c r="F194" s="45"/>
      <c r="G194" s="45"/>
      <c r="H194" s="45">
        <v>562</v>
      </c>
      <c r="N194" s="42" t="s">
        <v>271</v>
      </c>
      <c r="O194" s="48">
        <v>0.11</v>
      </c>
      <c r="P194" s="42">
        <f t="shared" si="2"/>
        <v>475</v>
      </c>
    </row>
    <row r="195" spans="1:16">
      <c r="A195" s="44">
        <v>2010</v>
      </c>
      <c r="B195" s="44" t="s">
        <v>111</v>
      </c>
      <c r="C195" s="44" t="s">
        <v>43</v>
      </c>
      <c r="D195" s="44" t="s">
        <v>281</v>
      </c>
      <c r="E195" s="44">
        <v>3203</v>
      </c>
      <c r="F195" s="44"/>
      <c r="G195" s="44"/>
      <c r="H195" s="44">
        <v>416</v>
      </c>
      <c r="N195" s="42" t="s">
        <v>272</v>
      </c>
      <c r="O195" s="48">
        <v>0.11</v>
      </c>
      <c r="P195" s="42">
        <f t="shared" si="2"/>
        <v>352</v>
      </c>
    </row>
    <row r="196" spans="1:16">
      <c r="A196" s="45">
        <v>2010</v>
      </c>
      <c r="B196" s="45" t="s">
        <v>111</v>
      </c>
      <c r="C196" s="45" t="s">
        <v>43</v>
      </c>
      <c r="D196" s="45" t="s">
        <v>282</v>
      </c>
      <c r="E196" s="45">
        <v>1606</v>
      </c>
      <c r="F196" s="45"/>
      <c r="G196" s="45"/>
      <c r="H196" s="45">
        <v>208</v>
      </c>
      <c r="N196" s="42" t="s">
        <v>273</v>
      </c>
      <c r="O196" s="48">
        <v>0.11</v>
      </c>
      <c r="P196" s="42">
        <f t="shared" si="2"/>
        <v>176</v>
      </c>
    </row>
    <row r="197" spans="1:16">
      <c r="A197" s="44">
        <v>2010</v>
      </c>
      <c r="B197" s="44" t="s">
        <v>111</v>
      </c>
      <c r="C197" s="44" t="s">
        <v>43</v>
      </c>
      <c r="D197" s="44" t="s">
        <v>283</v>
      </c>
      <c r="E197" s="44">
        <v>1064</v>
      </c>
      <c r="F197" s="44"/>
      <c r="G197" s="44"/>
      <c r="H197" s="44">
        <v>138</v>
      </c>
      <c r="N197" s="42" t="s">
        <v>274</v>
      </c>
      <c r="O197" s="48">
        <v>0.11</v>
      </c>
      <c r="P197" s="42">
        <f t="shared" si="2"/>
        <v>117</v>
      </c>
    </row>
    <row r="198" spans="1:16">
      <c r="A198" s="45">
        <v>2010</v>
      </c>
      <c r="B198" s="45" t="s">
        <v>111</v>
      </c>
      <c r="C198" s="45" t="s">
        <v>43</v>
      </c>
      <c r="D198" s="45" t="s">
        <v>284</v>
      </c>
      <c r="E198" s="45">
        <v>1144</v>
      </c>
      <c r="F198" s="45"/>
      <c r="G198" s="45"/>
      <c r="H198" s="45">
        <v>148</v>
      </c>
      <c r="N198" s="42" t="s">
        <v>275</v>
      </c>
      <c r="O198" s="48">
        <v>0.11</v>
      </c>
      <c r="P198" s="42">
        <f t="shared" si="2"/>
        <v>125</v>
      </c>
    </row>
    <row r="199" spans="1:16">
      <c r="A199" s="45">
        <v>2010</v>
      </c>
      <c r="B199" s="45" t="s">
        <v>102</v>
      </c>
      <c r="C199" s="45" t="s">
        <v>44</v>
      </c>
      <c r="D199" s="45" t="s">
        <v>267</v>
      </c>
      <c r="E199" s="45">
        <v>135347</v>
      </c>
      <c r="F199" s="45"/>
      <c r="G199" s="45"/>
      <c r="H199" s="45">
        <v>17595</v>
      </c>
      <c r="N199" s="42" t="s">
        <v>276</v>
      </c>
      <c r="O199" s="48">
        <v>0.11</v>
      </c>
      <c r="P199" s="42">
        <f t="shared" si="2"/>
        <v>14888</v>
      </c>
    </row>
    <row r="200" spans="1:16">
      <c r="A200" s="44">
        <v>2010</v>
      </c>
      <c r="B200" s="44" t="s">
        <v>102</v>
      </c>
      <c r="C200" s="44" t="s">
        <v>44</v>
      </c>
      <c r="D200" s="44" t="s">
        <v>268</v>
      </c>
      <c r="E200" s="44">
        <v>100521</v>
      </c>
      <c r="F200" s="44"/>
      <c r="G200" s="44"/>
      <c r="H200" s="44">
        <v>11057</v>
      </c>
      <c r="N200" s="42" t="s">
        <v>277</v>
      </c>
      <c r="O200" s="48">
        <v>0.11</v>
      </c>
      <c r="P200" s="42">
        <f t="shared" si="2"/>
        <v>11057</v>
      </c>
    </row>
    <row r="201" spans="1:16">
      <c r="A201" s="45">
        <v>2010</v>
      </c>
      <c r="B201" s="45" t="s">
        <v>102</v>
      </c>
      <c r="C201" s="45" t="s">
        <v>44</v>
      </c>
      <c r="D201" s="45" t="s">
        <v>269</v>
      </c>
      <c r="E201" s="45">
        <v>84671</v>
      </c>
      <c r="F201" s="45"/>
      <c r="G201" s="45"/>
      <c r="H201" s="45">
        <v>9313</v>
      </c>
      <c r="N201" s="42" t="s">
        <v>278</v>
      </c>
      <c r="O201" s="48">
        <v>0.11</v>
      </c>
      <c r="P201" s="42">
        <f t="shared" si="2"/>
        <v>9313</v>
      </c>
    </row>
    <row r="202" spans="1:16">
      <c r="A202" s="44">
        <v>2010</v>
      </c>
      <c r="B202" s="44" t="s">
        <v>102</v>
      </c>
      <c r="C202" s="44" t="s">
        <v>44</v>
      </c>
      <c r="D202" s="44" t="s">
        <v>254</v>
      </c>
      <c r="E202" s="44">
        <v>74959</v>
      </c>
      <c r="F202" s="44"/>
      <c r="G202" s="44"/>
      <c r="H202" s="44">
        <v>8245</v>
      </c>
      <c r="N202" s="42" t="s">
        <v>279</v>
      </c>
      <c r="O202" s="48">
        <v>0.13</v>
      </c>
      <c r="P202" s="42">
        <f t="shared" ref="P202:P265" si="3">INT(E202*O202)</f>
        <v>9744</v>
      </c>
    </row>
    <row r="203" spans="1:16">
      <c r="A203" s="45">
        <v>2010</v>
      </c>
      <c r="B203" s="45" t="s">
        <v>102</v>
      </c>
      <c r="C203" s="45" t="s">
        <v>44</v>
      </c>
      <c r="D203" s="45" t="s">
        <v>270</v>
      </c>
      <c r="E203" s="45">
        <v>52130</v>
      </c>
      <c r="F203" s="45"/>
      <c r="G203" s="45"/>
      <c r="H203" s="45">
        <v>5734</v>
      </c>
      <c r="N203" s="42" t="s">
        <v>280</v>
      </c>
      <c r="O203" s="48">
        <v>0.13</v>
      </c>
      <c r="P203" s="42">
        <f t="shared" si="3"/>
        <v>6776</v>
      </c>
    </row>
    <row r="204" spans="1:16">
      <c r="A204" s="44">
        <v>2010</v>
      </c>
      <c r="B204" s="44" t="s">
        <v>102</v>
      </c>
      <c r="C204" s="44" t="s">
        <v>44</v>
      </c>
      <c r="D204" s="44" t="s">
        <v>271</v>
      </c>
      <c r="E204" s="44">
        <v>45719</v>
      </c>
      <c r="F204" s="44"/>
      <c r="G204" s="44"/>
      <c r="H204" s="44">
        <v>5029</v>
      </c>
      <c r="N204" s="42" t="s">
        <v>281</v>
      </c>
      <c r="O204" s="48">
        <v>0.13</v>
      </c>
      <c r="P204" s="42">
        <f t="shared" si="3"/>
        <v>5943</v>
      </c>
    </row>
    <row r="205" spans="1:16">
      <c r="A205" s="45">
        <v>2010</v>
      </c>
      <c r="B205" s="45" t="s">
        <v>102</v>
      </c>
      <c r="C205" s="45" t="s">
        <v>44</v>
      </c>
      <c r="D205" s="45" t="s">
        <v>272</v>
      </c>
      <c r="E205" s="45">
        <v>37139</v>
      </c>
      <c r="F205" s="45"/>
      <c r="G205" s="45"/>
      <c r="H205" s="45">
        <v>4085</v>
      </c>
      <c r="N205" s="42" t="s">
        <v>282</v>
      </c>
      <c r="O205" s="48">
        <v>0.13</v>
      </c>
      <c r="P205" s="42">
        <f t="shared" si="3"/>
        <v>4828</v>
      </c>
    </row>
    <row r="206" spans="1:16">
      <c r="A206" s="44">
        <v>2010</v>
      </c>
      <c r="B206" s="44" t="s">
        <v>102</v>
      </c>
      <c r="C206" s="44" t="s">
        <v>44</v>
      </c>
      <c r="D206" s="44" t="s">
        <v>273</v>
      </c>
      <c r="E206" s="44">
        <v>32486</v>
      </c>
      <c r="F206" s="44"/>
      <c r="G206" s="44"/>
      <c r="H206" s="44">
        <v>3573</v>
      </c>
      <c r="N206" s="42" t="s">
        <v>283</v>
      </c>
      <c r="O206" s="48">
        <v>0.13</v>
      </c>
      <c r="P206" s="42">
        <f t="shared" si="3"/>
        <v>4223</v>
      </c>
    </row>
    <row r="207" spans="1:16">
      <c r="A207" s="45">
        <v>2010</v>
      </c>
      <c r="B207" s="45" t="s">
        <v>102</v>
      </c>
      <c r="C207" s="45" t="s">
        <v>44</v>
      </c>
      <c r="D207" s="45" t="s">
        <v>274</v>
      </c>
      <c r="E207" s="45">
        <v>21402</v>
      </c>
      <c r="F207" s="45"/>
      <c r="G207" s="45"/>
      <c r="H207" s="45">
        <v>2354</v>
      </c>
      <c r="L207" s="42" t="s">
        <v>138</v>
      </c>
      <c r="N207" s="42" t="s">
        <v>284</v>
      </c>
      <c r="O207" s="48">
        <v>0.13</v>
      </c>
      <c r="P207" s="42">
        <f t="shared" si="3"/>
        <v>2782</v>
      </c>
    </row>
    <row r="208" spans="1:16">
      <c r="A208" s="44">
        <v>2010</v>
      </c>
      <c r="B208" s="44" t="s">
        <v>102</v>
      </c>
      <c r="C208" s="44" t="s">
        <v>44</v>
      </c>
      <c r="D208" s="44" t="s">
        <v>275</v>
      </c>
      <c r="E208" s="44">
        <v>17679</v>
      </c>
      <c r="F208" s="44"/>
      <c r="G208" s="44"/>
      <c r="H208" s="44">
        <v>1944</v>
      </c>
      <c r="P208" s="42">
        <f t="shared" si="3"/>
        <v>0</v>
      </c>
    </row>
    <row r="209" spans="1:16">
      <c r="A209" s="45">
        <v>2010</v>
      </c>
      <c r="B209" s="45" t="s">
        <v>102</v>
      </c>
      <c r="C209" s="45" t="s">
        <v>44</v>
      </c>
      <c r="D209" s="45" t="s">
        <v>276</v>
      </c>
      <c r="E209" s="45">
        <v>12458</v>
      </c>
      <c r="F209" s="45"/>
      <c r="G209" s="45"/>
      <c r="H209" s="45">
        <v>1370</v>
      </c>
      <c r="N209" s="42" t="s">
        <v>267</v>
      </c>
      <c r="O209" s="48">
        <v>0.13</v>
      </c>
      <c r="P209" s="42">
        <f t="shared" si="3"/>
        <v>1619</v>
      </c>
    </row>
    <row r="210" spans="1:16">
      <c r="A210" s="44">
        <v>2010</v>
      </c>
      <c r="B210" s="44" t="s">
        <v>102</v>
      </c>
      <c r="C210" s="44" t="s">
        <v>44</v>
      </c>
      <c r="D210" s="44" t="s">
        <v>277</v>
      </c>
      <c r="E210" s="44">
        <v>9777</v>
      </c>
      <c r="F210" s="44"/>
      <c r="G210" s="44"/>
      <c r="H210" s="44">
        <v>1075</v>
      </c>
      <c r="N210" s="42" t="s">
        <v>268</v>
      </c>
      <c r="O210" s="48">
        <v>0.11</v>
      </c>
      <c r="P210" s="42">
        <f t="shared" si="3"/>
        <v>1075</v>
      </c>
    </row>
    <row r="211" spans="1:16">
      <c r="A211" s="45">
        <v>2010</v>
      </c>
      <c r="B211" s="45" t="s">
        <v>102</v>
      </c>
      <c r="C211" s="45" t="s">
        <v>44</v>
      </c>
      <c r="D211" s="45" t="s">
        <v>278</v>
      </c>
      <c r="E211" s="45">
        <v>7723</v>
      </c>
      <c r="F211" s="45"/>
      <c r="G211" s="45"/>
      <c r="H211" s="45">
        <v>849</v>
      </c>
      <c r="N211" s="42" t="s">
        <v>269</v>
      </c>
      <c r="O211" s="48">
        <v>0.11</v>
      </c>
      <c r="P211" s="42">
        <f t="shared" si="3"/>
        <v>849</v>
      </c>
    </row>
    <row r="212" spans="1:16">
      <c r="A212" s="44">
        <v>2010</v>
      </c>
      <c r="B212" s="44" t="s">
        <v>102</v>
      </c>
      <c r="C212" s="44" t="s">
        <v>44</v>
      </c>
      <c r="D212" s="44" t="s">
        <v>279</v>
      </c>
      <c r="E212" s="44">
        <v>5966</v>
      </c>
      <c r="F212" s="44"/>
      <c r="G212" s="44"/>
      <c r="H212" s="44">
        <v>775</v>
      </c>
      <c r="N212" s="42" t="s">
        <v>254</v>
      </c>
      <c r="O212" s="48">
        <v>0.11</v>
      </c>
      <c r="P212" s="42">
        <f t="shared" si="3"/>
        <v>656</v>
      </c>
    </row>
    <row r="213" spans="1:16">
      <c r="A213" s="45">
        <v>2010</v>
      </c>
      <c r="B213" s="45" t="s">
        <v>102</v>
      </c>
      <c r="C213" s="45" t="s">
        <v>44</v>
      </c>
      <c r="D213" s="45" t="s">
        <v>280</v>
      </c>
      <c r="E213" s="45">
        <v>4317</v>
      </c>
      <c r="F213" s="45"/>
      <c r="G213" s="45"/>
      <c r="H213" s="45">
        <v>561</v>
      </c>
      <c r="N213" s="42" t="s">
        <v>270</v>
      </c>
      <c r="O213" s="48">
        <v>0.11</v>
      </c>
      <c r="P213" s="42">
        <f t="shared" si="3"/>
        <v>474</v>
      </c>
    </row>
    <row r="214" spans="1:16">
      <c r="A214" s="44">
        <v>2010</v>
      </c>
      <c r="B214" s="44" t="s">
        <v>102</v>
      </c>
      <c r="C214" s="44" t="s">
        <v>44</v>
      </c>
      <c r="D214" s="44" t="s">
        <v>281</v>
      </c>
      <c r="E214" s="44">
        <v>1255</v>
      </c>
      <c r="F214" s="44"/>
      <c r="G214" s="44"/>
      <c r="H214" s="44">
        <v>163</v>
      </c>
      <c r="N214" s="42" t="s">
        <v>271</v>
      </c>
      <c r="O214" s="48">
        <v>0.11</v>
      </c>
      <c r="P214" s="42">
        <f t="shared" si="3"/>
        <v>138</v>
      </c>
    </row>
    <row r="215" spans="1:16">
      <c r="A215" s="45">
        <v>2010</v>
      </c>
      <c r="B215" s="45" t="s">
        <v>102</v>
      </c>
      <c r="C215" s="45" t="s">
        <v>44</v>
      </c>
      <c r="D215" s="45" t="s">
        <v>282</v>
      </c>
      <c r="E215" s="45">
        <v>1487</v>
      </c>
      <c r="F215" s="45"/>
      <c r="G215" s="45"/>
      <c r="H215" s="45">
        <v>193</v>
      </c>
      <c r="N215" s="42" t="s">
        <v>272</v>
      </c>
      <c r="O215" s="48">
        <v>0.11</v>
      </c>
      <c r="P215" s="42">
        <f t="shared" si="3"/>
        <v>163</v>
      </c>
    </row>
    <row r="216" spans="1:16">
      <c r="A216" s="44">
        <v>2010</v>
      </c>
      <c r="B216" s="44" t="s">
        <v>102</v>
      </c>
      <c r="C216" s="44" t="s">
        <v>44</v>
      </c>
      <c r="D216" s="44" t="s">
        <v>283</v>
      </c>
      <c r="E216" s="44">
        <v>992</v>
      </c>
      <c r="F216" s="44"/>
      <c r="G216" s="44"/>
      <c r="H216" s="44">
        <v>128</v>
      </c>
      <c r="N216" s="42" t="s">
        <v>273</v>
      </c>
      <c r="O216" s="48">
        <v>0.11</v>
      </c>
      <c r="P216" s="42">
        <f t="shared" si="3"/>
        <v>109</v>
      </c>
    </row>
    <row r="217" spans="1:16">
      <c r="A217" s="45">
        <v>2010</v>
      </c>
      <c r="B217" s="45" t="s">
        <v>102</v>
      </c>
      <c r="C217" s="45" t="s">
        <v>44</v>
      </c>
      <c r="D217" s="45" t="s">
        <v>284</v>
      </c>
      <c r="E217" s="45">
        <v>452</v>
      </c>
      <c r="F217" s="45"/>
      <c r="G217" s="45"/>
      <c r="H217" s="45">
        <v>58</v>
      </c>
      <c r="N217" s="42" t="s">
        <v>274</v>
      </c>
      <c r="O217" s="48">
        <v>0.11</v>
      </c>
      <c r="P217" s="42">
        <f t="shared" si="3"/>
        <v>49</v>
      </c>
    </row>
    <row r="218" spans="1:16">
      <c r="A218" s="45">
        <v>2010</v>
      </c>
      <c r="B218" s="45" t="s">
        <v>103</v>
      </c>
      <c r="C218" s="45" t="s">
        <v>44</v>
      </c>
      <c r="D218" s="45" t="s">
        <v>267</v>
      </c>
      <c r="E218" s="45">
        <v>171266</v>
      </c>
      <c r="F218" s="45"/>
      <c r="G218" s="45"/>
      <c r="H218" s="45">
        <v>22264</v>
      </c>
      <c r="N218" s="42" t="s">
        <v>275</v>
      </c>
      <c r="O218" s="48">
        <v>0.11</v>
      </c>
      <c r="P218" s="42">
        <f t="shared" si="3"/>
        <v>18839</v>
      </c>
    </row>
    <row r="219" spans="1:16">
      <c r="A219" s="44">
        <v>2010</v>
      </c>
      <c r="B219" s="44" t="s">
        <v>103</v>
      </c>
      <c r="C219" s="44" t="s">
        <v>44</v>
      </c>
      <c r="D219" s="44" t="s">
        <v>268</v>
      </c>
      <c r="E219" s="44">
        <v>129201</v>
      </c>
      <c r="F219" s="44"/>
      <c r="G219" s="44"/>
      <c r="H219" s="44">
        <v>14212</v>
      </c>
      <c r="N219" s="42" t="s">
        <v>276</v>
      </c>
      <c r="O219" s="48">
        <v>0.11</v>
      </c>
      <c r="P219" s="42">
        <f t="shared" si="3"/>
        <v>14212</v>
      </c>
    </row>
    <row r="220" spans="1:16">
      <c r="A220" s="45">
        <v>2010</v>
      </c>
      <c r="B220" s="45" t="s">
        <v>103</v>
      </c>
      <c r="C220" s="45" t="s">
        <v>44</v>
      </c>
      <c r="D220" s="45" t="s">
        <v>269</v>
      </c>
      <c r="E220" s="45">
        <v>123060</v>
      </c>
      <c r="F220" s="45"/>
      <c r="G220" s="45"/>
      <c r="H220" s="45">
        <v>13536</v>
      </c>
      <c r="N220" s="42" t="s">
        <v>277</v>
      </c>
      <c r="O220" s="48">
        <v>0.11</v>
      </c>
      <c r="P220" s="42">
        <f t="shared" si="3"/>
        <v>13536</v>
      </c>
    </row>
    <row r="221" spans="1:16">
      <c r="A221" s="44">
        <v>2010</v>
      </c>
      <c r="B221" s="44" t="s">
        <v>103</v>
      </c>
      <c r="C221" s="44" t="s">
        <v>44</v>
      </c>
      <c r="D221" s="44" t="s">
        <v>254</v>
      </c>
      <c r="E221" s="44">
        <v>120238</v>
      </c>
      <c r="F221" s="44"/>
      <c r="G221" s="44"/>
      <c r="H221" s="44">
        <v>13226</v>
      </c>
      <c r="N221" s="42" t="s">
        <v>278</v>
      </c>
      <c r="O221" s="48">
        <v>0.11</v>
      </c>
      <c r="P221" s="42">
        <f t="shared" si="3"/>
        <v>13226</v>
      </c>
    </row>
    <row r="222" spans="1:16">
      <c r="A222" s="45">
        <v>2010</v>
      </c>
      <c r="B222" s="45" t="s">
        <v>103</v>
      </c>
      <c r="C222" s="45" t="s">
        <v>44</v>
      </c>
      <c r="D222" s="45" t="s">
        <v>270</v>
      </c>
      <c r="E222" s="45">
        <v>87717</v>
      </c>
      <c r="F222" s="45"/>
      <c r="G222" s="45"/>
      <c r="H222" s="45">
        <v>9648</v>
      </c>
      <c r="N222" s="42" t="s">
        <v>279</v>
      </c>
      <c r="O222" s="48">
        <v>0.13</v>
      </c>
      <c r="P222" s="42">
        <f t="shared" si="3"/>
        <v>11403</v>
      </c>
    </row>
    <row r="223" spans="1:16">
      <c r="A223" s="44">
        <v>2010</v>
      </c>
      <c r="B223" s="44" t="s">
        <v>103</v>
      </c>
      <c r="C223" s="44" t="s">
        <v>44</v>
      </c>
      <c r="D223" s="44" t="s">
        <v>271</v>
      </c>
      <c r="E223" s="44">
        <v>84830</v>
      </c>
      <c r="F223" s="44"/>
      <c r="G223" s="44"/>
      <c r="H223" s="44">
        <v>9331</v>
      </c>
      <c r="J223" s="42" t="s">
        <v>138</v>
      </c>
      <c r="N223" s="42" t="s">
        <v>280</v>
      </c>
      <c r="O223" s="48">
        <v>0.13</v>
      </c>
      <c r="P223" s="42">
        <f t="shared" si="3"/>
        <v>11027</v>
      </c>
    </row>
    <row r="224" spans="1:16">
      <c r="A224" s="45">
        <v>2010</v>
      </c>
      <c r="B224" s="45" t="s">
        <v>103</v>
      </c>
      <c r="C224" s="45" t="s">
        <v>44</v>
      </c>
      <c r="D224" s="45" t="s">
        <v>272</v>
      </c>
      <c r="E224" s="45">
        <v>67300</v>
      </c>
      <c r="F224" s="45"/>
      <c r="G224" s="45"/>
      <c r="H224" s="45">
        <v>7403</v>
      </c>
      <c r="J224" s="42" t="s">
        <v>138</v>
      </c>
      <c r="N224" s="42" t="s">
        <v>281</v>
      </c>
      <c r="O224" s="48">
        <v>0.13</v>
      </c>
      <c r="P224" s="42">
        <f t="shared" si="3"/>
        <v>8749</v>
      </c>
    </row>
    <row r="225" spans="1:16">
      <c r="A225" s="44">
        <v>2010</v>
      </c>
      <c r="B225" s="44" t="s">
        <v>103</v>
      </c>
      <c r="C225" s="44" t="s">
        <v>44</v>
      </c>
      <c r="D225" s="44" t="s">
        <v>273</v>
      </c>
      <c r="E225" s="44">
        <v>55754</v>
      </c>
      <c r="F225" s="44"/>
      <c r="G225" s="44"/>
      <c r="H225" s="44">
        <v>6132</v>
      </c>
      <c r="N225" s="42" t="s">
        <v>282</v>
      </c>
      <c r="O225" s="48">
        <v>0.13</v>
      </c>
      <c r="P225" s="42">
        <f t="shared" si="3"/>
        <v>7248</v>
      </c>
    </row>
    <row r="226" spans="1:16">
      <c r="A226" s="45">
        <v>2010</v>
      </c>
      <c r="B226" s="45" t="s">
        <v>103</v>
      </c>
      <c r="C226" s="45" t="s">
        <v>44</v>
      </c>
      <c r="D226" s="45" t="s">
        <v>274</v>
      </c>
      <c r="E226" s="45">
        <v>36998</v>
      </c>
      <c r="F226" s="45"/>
      <c r="G226" s="45"/>
      <c r="H226" s="45">
        <v>4069</v>
      </c>
      <c r="N226" s="42" t="s">
        <v>283</v>
      </c>
      <c r="O226" s="48">
        <v>0.13</v>
      </c>
      <c r="P226" s="42">
        <f t="shared" si="3"/>
        <v>4809</v>
      </c>
    </row>
    <row r="227" spans="1:16">
      <c r="A227" s="44">
        <v>2010</v>
      </c>
      <c r="B227" s="44" t="s">
        <v>103</v>
      </c>
      <c r="C227" s="44" t="s">
        <v>44</v>
      </c>
      <c r="D227" s="44" t="s">
        <v>275</v>
      </c>
      <c r="E227" s="44">
        <v>30779</v>
      </c>
      <c r="F227" s="44"/>
      <c r="G227" s="44"/>
      <c r="H227" s="44">
        <v>3385</v>
      </c>
      <c r="N227" s="42" t="s">
        <v>284</v>
      </c>
      <c r="O227" s="48">
        <v>0.13</v>
      </c>
      <c r="P227" s="42">
        <f t="shared" si="3"/>
        <v>4001</v>
      </c>
    </row>
    <row r="228" spans="1:16">
      <c r="A228" s="45">
        <v>2010</v>
      </c>
      <c r="B228" s="45" t="s">
        <v>103</v>
      </c>
      <c r="C228" s="45" t="s">
        <v>44</v>
      </c>
      <c r="D228" s="45" t="s">
        <v>276</v>
      </c>
      <c r="E228" s="45">
        <v>22343</v>
      </c>
      <c r="F228" s="45"/>
      <c r="G228" s="45"/>
      <c r="H228" s="45">
        <v>2457</v>
      </c>
      <c r="P228" s="42">
        <f t="shared" si="3"/>
        <v>0</v>
      </c>
    </row>
    <row r="229" spans="1:16">
      <c r="A229" s="44">
        <v>2010</v>
      </c>
      <c r="B229" s="44" t="s">
        <v>103</v>
      </c>
      <c r="C229" s="44" t="s">
        <v>44</v>
      </c>
      <c r="D229" s="44" t="s">
        <v>277</v>
      </c>
      <c r="E229" s="44">
        <v>18234</v>
      </c>
      <c r="F229" s="44"/>
      <c r="G229" s="44"/>
      <c r="H229" s="44">
        <v>2005</v>
      </c>
      <c r="N229" s="42" t="s">
        <v>267</v>
      </c>
      <c r="O229" s="48">
        <v>0.13</v>
      </c>
      <c r="P229" s="42">
        <f t="shared" si="3"/>
        <v>2370</v>
      </c>
    </row>
    <row r="230" spans="1:16">
      <c r="A230" s="45">
        <v>2010</v>
      </c>
      <c r="B230" s="45" t="s">
        <v>103</v>
      </c>
      <c r="C230" s="45" t="s">
        <v>44</v>
      </c>
      <c r="D230" s="45" t="s">
        <v>278</v>
      </c>
      <c r="E230" s="45">
        <v>13272</v>
      </c>
      <c r="F230" s="45"/>
      <c r="G230" s="45"/>
      <c r="H230" s="45">
        <v>1459</v>
      </c>
      <c r="N230" s="42" t="s">
        <v>268</v>
      </c>
      <c r="O230" s="48">
        <v>0.11</v>
      </c>
      <c r="P230" s="42">
        <f t="shared" si="3"/>
        <v>1459</v>
      </c>
    </row>
    <row r="231" spans="1:16">
      <c r="A231" s="44">
        <v>2010</v>
      </c>
      <c r="B231" s="44" t="s">
        <v>103</v>
      </c>
      <c r="C231" s="44" t="s">
        <v>44</v>
      </c>
      <c r="D231" s="44" t="s">
        <v>279</v>
      </c>
      <c r="E231" s="44">
        <v>8495</v>
      </c>
      <c r="F231" s="44"/>
      <c r="G231" s="44"/>
      <c r="H231" s="44">
        <v>1104</v>
      </c>
      <c r="N231" s="42" t="s">
        <v>269</v>
      </c>
      <c r="O231" s="48">
        <v>0.11</v>
      </c>
      <c r="P231" s="42">
        <f t="shared" si="3"/>
        <v>934</v>
      </c>
    </row>
    <row r="232" spans="1:16">
      <c r="A232" s="45">
        <v>2010</v>
      </c>
      <c r="B232" s="45" t="s">
        <v>103</v>
      </c>
      <c r="C232" s="45" t="s">
        <v>44</v>
      </c>
      <c r="D232" s="45" t="s">
        <v>280</v>
      </c>
      <c r="E232" s="45">
        <v>5781</v>
      </c>
      <c r="F232" s="45"/>
      <c r="G232" s="45"/>
      <c r="H232" s="45">
        <v>751</v>
      </c>
      <c r="N232" s="42" t="s">
        <v>254</v>
      </c>
      <c r="O232" s="48">
        <v>0.11</v>
      </c>
      <c r="P232" s="42">
        <f t="shared" si="3"/>
        <v>635</v>
      </c>
    </row>
    <row r="233" spans="1:16">
      <c r="A233" s="44">
        <v>2010</v>
      </c>
      <c r="B233" s="44" t="s">
        <v>103</v>
      </c>
      <c r="C233" s="44" t="s">
        <v>44</v>
      </c>
      <c r="D233" s="44" t="s">
        <v>281</v>
      </c>
      <c r="E233" s="44">
        <v>1547</v>
      </c>
      <c r="F233" s="44"/>
      <c r="G233" s="44"/>
      <c r="H233" s="44">
        <v>201</v>
      </c>
      <c r="N233" s="42" t="s">
        <v>270</v>
      </c>
      <c r="O233" s="48">
        <v>0.11</v>
      </c>
      <c r="P233" s="42">
        <f t="shared" si="3"/>
        <v>170</v>
      </c>
    </row>
    <row r="234" spans="1:16">
      <c r="A234" s="45">
        <v>2010</v>
      </c>
      <c r="B234" s="45" t="s">
        <v>103</v>
      </c>
      <c r="C234" s="45" t="s">
        <v>44</v>
      </c>
      <c r="D234" s="45" t="s">
        <v>282</v>
      </c>
      <c r="E234" s="45">
        <v>1579</v>
      </c>
      <c r="F234" s="45"/>
      <c r="G234" s="45"/>
      <c r="H234" s="45">
        <v>205</v>
      </c>
      <c r="N234" s="42" t="s">
        <v>271</v>
      </c>
      <c r="O234" s="48">
        <v>0.11</v>
      </c>
      <c r="P234" s="42">
        <f t="shared" si="3"/>
        <v>173</v>
      </c>
    </row>
    <row r="235" spans="1:16">
      <c r="A235" s="44">
        <v>2010</v>
      </c>
      <c r="B235" s="44" t="s">
        <v>103</v>
      </c>
      <c r="C235" s="44" t="s">
        <v>44</v>
      </c>
      <c r="D235" s="44" t="s">
        <v>283</v>
      </c>
      <c r="E235" s="44">
        <v>913</v>
      </c>
      <c r="F235" s="44"/>
      <c r="G235" s="44"/>
      <c r="H235" s="44">
        <v>118</v>
      </c>
      <c r="N235" s="42" t="s">
        <v>272</v>
      </c>
      <c r="O235" s="48">
        <v>0.11</v>
      </c>
      <c r="P235" s="42">
        <f t="shared" si="3"/>
        <v>100</v>
      </c>
    </row>
    <row r="236" spans="1:16">
      <c r="A236" s="45">
        <v>2010</v>
      </c>
      <c r="B236" s="45" t="s">
        <v>103</v>
      </c>
      <c r="C236" s="45" t="s">
        <v>44</v>
      </c>
      <c r="D236" s="45" t="s">
        <v>284</v>
      </c>
      <c r="E236" s="45">
        <v>408</v>
      </c>
      <c r="F236" s="45"/>
      <c r="G236" s="45"/>
      <c r="H236" s="45">
        <v>53</v>
      </c>
      <c r="N236" s="42" t="s">
        <v>273</v>
      </c>
      <c r="O236" s="48">
        <v>0.11</v>
      </c>
      <c r="P236" s="42">
        <f t="shared" si="3"/>
        <v>44</v>
      </c>
    </row>
    <row r="237" spans="1:16">
      <c r="A237" s="45">
        <v>2010</v>
      </c>
      <c r="B237" s="45" t="s">
        <v>104</v>
      </c>
      <c r="C237" s="45" t="s">
        <v>44</v>
      </c>
      <c r="D237" s="45" t="s">
        <v>267</v>
      </c>
      <c r="E237" s="45">
        <v>168680</v>
      </c>
      <c r="F237" s="45"/>
      <c r="G237" s="45"/>
      <c r="H237" s="45">
        <v>21928</v>
      </c>
      <c r="N237" s="42" t="s">
        <v>274</v>
      </c>
      <c r="O237" s="48">
        <v>0.11</v>
      </c>
      <c r="P237" s="42">
        <f t="shared" si="3"/>
        <v>18554</v>
      </c>
    </row>
    <row r="238" spans="1:16">
      <c r="A238" s="44">
        <v>2010</v>
      </c>
      <c r="B238" s="44" t="s">
        <v>104</v>
      </c>
      <c r="C238" s="44" t="s">
        <v>44</v>
      </c>
      <c r="D238" s="44" t="s">
        <v>268</v>
      </c>
      <c r="E238" s="44">
        <v>126969</v>
      </c>
      <c r="F238" s="44"/>
      <c r="G238" s="44"/>
      <c r="H238" s="44">
        <v>13966</v>
      </c>
      <c r="N238" s="42" t="s">
        <v>275</v>
      </c>
      <c r="O238" s="48">
        <v>0.11</v>
      </c>
      <c r="P238" s="42">
        <f t="shared" si="3"/>
        <v>13966</v>
      </c>
    </row>
    <row r="239" spans="1:16">
      <c r="A239" s="45">
        <v>2010</v>
      </c>
      <c r="B239" s="45" t="s">
        <v>104</v>
      </c>
      <c r="C239" s="45" t="s">
        <v>44</v>
      </c>
      <c r="D239" s="45" t="s">
        <v>269</v>
      </c>
      <c r="E239" s="45">
        <v>102007</v>
      </c>
      <c r="F239" s="45"/>
      <c r="G239" s="45"/>
      <c r="H239" s="45">
        <v>11220</v>
      </c>
      <c r="N239" s="42" t="s">
        <v>276</v>
      </c>
      <c r="O239" s="48">
        <v>0.11</v>
      </c>
      <c r="P239" s="42">
        <f t="shared" si="3"/>
        <v>11220</v>
      </c>
    </row>
    <row r="240" spans="1:16">
      <c r="A240" s="44">
        <v>2010</v>
      </c>
      <c r="B240" s="44" t="s">
        <v>104</v>
      </c>
      <c r="C240" s="44" t="s">
        <v>44</v>
      </c>
      <c r="D240" s="44" t="s">
        <v>254</v>
      </c>
      <c r="E240" s="44">
        <v>85898</v>
      </c>
      <c r="F240" s="44"/>
      <c r="G240" s="44"/>
      <c r="H240" s="44">
        <v>9448</v>
      </c>
      <c r="N240" s="42" t="s">
        <v>277</v>
      </c>
      <c r="O240" s="48">
        <v>0.11</v>
      </c>
      <c r="P240" s="42">
        <f t="shared" si="3"/>
        <v>9448</v>
      </c>
    </row>
    <row r="241" spans="1:16">
      <c r="A241" s="45">
        <v>2010</v>
      </c>
      <c r="B241" s="45" t="s">
        <v>104</v>
      </c>
      <c r="C241" s="45" t="s">
        <v>44</v>
      </c>
      <c r="D241" s="45" t="s">
        <v>270</v>
      </c>
      <c r="E241" s="45">
        <v>61390</v>
      </c>
      <c r="F241" s="45"/>
      <c r="G241" s="45"/>
      <c r="H241" s="45">
        <v>6752</v>
      </c>
      <c r="N241" s="42" t="s">
        <v>278</v>
      </c>
      <c r="O241" s="48">
        <v>0.11</v>
      </c>
      <c r="P241" s="42">
        <f t="shared" si="3"/>
        <v>6752</v>
      </c>
    </row>
    <row r="242" spans="1:16">
      <c r="A242" s="44">
        <v>2010</v>
      </c>
      <c r="B242" s="44" t="s">
        <v>104</v>
      </c>
      <c r="C242" s="44" t="s">
        <v>44</v>
      </c>
      <c r="D242" s="44" t="s">
        <v>271</v>
      </c>
      <c r="E242" s="44">
        <v>56618</v>
      </c>
      <c r="F242" s="44"/>
      <c r="G242" s="44"/>
      <c r="H242" s="44">
        <v>6227</v>
      </c>
      <c r="N242" s="42" t="s">
        <v>279</v>
      </c>
      <c r="O242" s="48">
        <v>0.13</v>
      </c>
      <c r="P242" s="42">
        <f t="shared" si="3"/>
        <v>7360</v>
      </c>
    </row>
    <row r="243" spans="1:16">
      <c r="A243" s="45">
        <v>2010</v>
      </c>
      <c r="B243" s="45" t="s">
        <v>104</v>
      </c>
      <c r="C243" s="45" t="s">
        <v>44</v>
      </c>
      <c r="D243" s="45" t="s">
        <v>272</v>
      </c>
      <c r="E243" s="45">
        <v>43111</v>
      </c>
      <c r="F243" s="45"/>
      <c r="G243" s="45"/>
      <c r="H243" s="45">
        <v>4742</v>
      </c>
      <c r="N243" s="42" t="s">
        <v>280</v>
      </c>
      <c r="O243" s="48">
        <v>0.13</v>
      </c>
      <c r="P243" s="42">
        <f t="shared" si="3"/>
        <v>5604</v>
      </c>
    </row>
    <row r="244" spans="1:16">
      <c r="A244" s="44">
        <v>2010</v>
      </c>
      <c r="B244" s="44" t="s">
        <v>104</v>
      </c>
      <c r="C244" s="44" t="s">
        <v>44</v>
      </c>
      <c r="D244" s="44" t="s">
        <v>273</v>
      </c>
      <c r="E244" s="44">
        <v>38770</v>
      </c>
      <c r="F244" s="44"/>
      <c r="G244" s="44"/>
      <c r="H244" s="44">
        <v>4264</v>
      </c>
      <c r="N244" s="42" t="s">
        <v>281</v>
      </c>
      <c r="O244" s="48">
        <v>0.13</v>
      </c>
      <c r="P244" s="42">
        <f t="shared" si="3"/>
        <v>5040</v>
      </c>
    </row>
    <row r="245" spans="1:16">
      <c r="A245" s="45">
        <v>2010</v>
      </c>
      <c r="B245" s="45" t="s">
        <v>104</v>
      </c>
      <c r="C245" s="45" t="s">
        <v>44</v>
      </c>
      <c r="D245" s="45" t="s">
        <v>274</v>
      </c>
      <c r="E245" s="45">
        <v>24438</v>
      </c>
      <c r="F245" s="45"/>
      <c r="G245" s="45"/>
      <c r="H245" s="45">
        <v>2688</v>
      </c>
      <c r="N245" s="42" t="s">
        <v>282</v>
      </c>
      <c r="O245" s="48">
        <v>0.13</v>
      </c>
      <c r="P245" s="42">
        <f t="shared" si="3"/>
        <v>3176</v>
      </c>
    </row>
    <row r="246" spans="1:16">
      <c r="A246" s="44">
        <v>2010</v>
      </c>
      <c r="B246" s="44" t="s">
        <v>104</v>
      </c>
      <c r="C246" s="44" t="s">
        <v>44</v>
      </c>
      <c r="D246" s="44" t="s">
        <v>275</v>
      </c>
      <c r="E246" s="44">
        <v>22084</v>
      </c>
      <c r="F246" s="44"/>
      <c r="G246" s="44"/>
      <c r="H246" s="44">
        <v>2429</v>
      </c>
      <c r="N246" s="42" t="s">
        <v>283</v>
      </c>
      <c r="O246" s="48">
        <v>0.13</v>
      </c>
      <c r="P246" s="42">
        <f t="shared" si="3"/>
        <v>2870</v>
      </c>
    </row>
    <row r="247" spans="1:16">
      <c r="A247" s="45">
        <v>2010</v>
      </c>
      <c r="B247" s="45" t="s">
        <v>104</v>
      </c>
      <c r="C247" s="45" t="s">
        <v>44</v>
      </c>
      <c r="D247" s="45" t="s">
        <v>276</v>
      </c>
      <c r="E247" s="45">
        <v>13711</v>
      </c>
      <c r="F247" s="45"/>
      <c r="G247" s="45"/>
      <c r="H247" s="45">
        <v>1508</v>
      </c>
      <c r="N247" s="42" t="s">
        <v>284</v>
      </c>
      <c r="O247" s="48">
        <v>0.13</v>
      </c>
      <c r="P247" s="42">
        <f t="shared" si="3"/>
        <v>1782</v>
      </c>
    </row>
    <row r="248" spans="1:16">
      <c r="A248" s="44">
        <v>2010</v>
      </c>
      <c r="B248" s="44" t="s">
        <v>104</v>
      </c>
      <c r="C248" s="44" t="s">
        <v>44</v>
      </c>
      <c r="D248" s="44" t="s">
        <v>277</v>
      </c>
      <c r="E248" s="44">
        <v>11788</v>
      </c>
      <c r="F248" s="44"/>
      <c r="G248" s="44"/>
      <c r="H248" s="44">
        <v>1296</v>
      </c>
      <c r="P248" s="42">
        <f t="shared" si="3"/>
        <v>0</v>
      </c>
    </row>
    <row r="249" spans="1:16">
      <c r="A249" s="45">
        <v>2010</v>
      </c>
      <c r="B249" s="45" t="s">
        <v>104</v>
      </c>
      <c r="C249" s="45" t="s">
        <v>44</v>
      </c>
      <c r="D249" s="45" t="s">
        <v>278</v>
      </c>
      <c r="E249" s="45">
        <v>8526</v>
      </c>
      <c r="F249" s="45"/>
      <c r="G249" s="45"/>
      <c r="H249" s="45">
        <v>937</v>
      </c>
      <c r="N249" s="42" t="s">
        <v>267</v>
      </c>
      <c r="O249" s="48">
        <v>0.13</v>
      </c>
      <c r="P249" s="42">
        <f t="shared" si="3"/>
        <v>1108</v>
      </c>
    </row>
    <row r="250" spans="1:16">
      <c r="A250" s="44">
        <v>2010</v>
      </c>
      <c r="B250" s="44" t="s">
        <v>104</v>
      </c>
      <c r="C250" s="44" t="s">
        <v>44</v>
      </c>
      <c r="D250" s="44" t="s">
        <v>279</v>
      </c>
      <c r="E250" s="44">
        <v>7448</v>
      </c>
      <c r="F250" s="44"/>
      <c r="G250" s="44"/>
      <c r="H250" s="44">
        <v>968</v>
      </c>
      <c r="N250" s="42" t="s">
        <v>268</v>
      </c>
      <c r="O250" s="48">
        <v>0.11</v>
      </c>
      <c r="P250" s="42">
        <f t="shared" si="3"/>
        <v>819</v>
      </c>
    </row>
    <row r="251" spans="1:16">
      <c r="A251" s="45">
        <v>2010</v>
      </c>
      <c r="B251" s="45" t="s">
        <v>104</v>
      </c>
      <c r="C251" s="45" t="s">
        <v>44</v>
      </c>
      <c r="D251" s="45" t="s">
        <v>280</v>
      </c>
      <c r="E251" s="45">
        <v>5115</v>
      </c>
      <c r="F251" s="45"/>
      <c r="G251" s="45"/>
      <c r="H251" s="45">
        <v>664</v>
      </c>
      <c r="N251" s="42" t="s">
        <v>269</v>
      </c>
      <c r="O251" s="48">
        <v>0.11</v>
      </c>
      <c r="P251" s="42">
        <f t="shared" si="3"/>
        <v>562</v>
      </c>
    </row>
    <row r="252" spans="1:16">
      <c r="A252" s="44">
        <v>2010</v>
      </c>
      <c r="B252" s="44" t="s">
        <v>104</v>
      </c>
      <c r="C252" s="44" t="s">
        <v>44</v>
      </c>
      <c r="D252" s="44" t="s">
        <v>281</v>
      </c>
      <c r="E252" s="44">
        <v>1656</v>
      </c>
      <c r="F252" s="44"/>
      <c r="G252" s="44"/>
      <c r="H252" s="44">
        <v>215</v>
      </c>
      <c r="N252" s="42" t="s">
        <v>254</v>
      </c>
      <c r="O252" s="48">
        <v>0.11</v>
      </c>
      <c r="P252" s="42">
        <f t="shared" si="3"/>
        <v>182</v>
      </c>
    </row>
    <row r="253" spans="1:16">
      <c r="A253" s="45">
        <v>2010</v>
      </c>
      <c r="B253" s="45" t="s">
        <v>104</v>
      </c>
      <c r="C253" s="45" t="s">
        <v>44</v>
      </c>
      <c r="D253" s="45" t="s">
        <v>282</v>
      </c>
      <c r="E253" s="45">
        <v>1897</v>
      </c>
      <c r="F253" s="45"/>
      <c r="G253" s="45"/>
      <c r="H253" s="45">
        <v>246</v>
      </c>
      <c r="N253" s="42" t="s">
        <v>270</v>
      </c>
      <c r="O253" s="48">
        <v>0.11</v>
      </c>
      <c r="P253" s="42">
        <f t="shared" si="3"/>
        <v>208</v>
      </c>
    </row>
    <row r="254" spans="1:16">
      <c r="A254" s="44">
        <v>2010</v>
      </c>
      <c r="B254" s="44" t="s">
        <v>104</v>
      </c>
      <c r="C254" s="44" t="s">
        <v>44</v>
      </c>
      <c r="D254" s="44" t="s">
        <v>283</v>
      </c>
      <c r="E254" s="44">
        <v>1315</v>
      </c>
      <c r="F254" s="44"/>
      <c r="G254" s="44"/>
      <c r="H254" s="44">
        <v>170</v>
      </c>
      <c r="N254" s="42" t="s">
        <v>271</v>
      </c>
      <c r="O254" s="48">
        <v>0.11</v>
      </c>
      <c r="P254" s="42">
        <f t="shared" si="3"/>
        <v>144</v>
      </c>
    </row>
    <row r="255" spans="1:16">
      <c r="A255" s="45">
        <v>2010</v>
      </c>
      <c r="B255" s="45" t="s">
        <v>104</v>
      </c>
      <c r="C255" s="45" t="s">
        <v>44</v>
      </c>
      <c r="D255" s="45" t="s">
        <v>284</v>
      </c>
      <c r="E255" s="45">
        <v>742</v>
      </c>
      <c r="F255" s="45"/>
      <c r="G255" s="45"/>
      <c r="H255" s="45">
        <v>96</v>
      </c>
      <c r="N255" s="42" t="s">
        <v>272</v>
      </c>
      <c r="O255" s="48">
        <v>0.11</v>
      </c>
      <c r="P255" s="42">
        <f t="shared" si="3"/>
        <v>81</v>
      </c>
    </row>
    <row r="256" spans="1:16">
      <c r="A256" s="45">
        <v>2010</v>
      </c>
      <c r="B256" s="45" t="s">
        <v>105</v>
      </c>
      <c r="C256" s="45" t="s">
        <v>44</v>
      </c>
      <c r="D256" s="45" t="s">
        <v>267</v>
      </c>
      <c r="E256" s="45">
        <v>107934</v>
      </c>
      <c r="F256" s="45"/>
      <c r="G256" s="45"/>
      <c r="H256" s="45">
        <v>14031</v>
      </c>
      <c r="N256" s="42" t="s">
        <v>273</v>
      </c>
      <c r="O256" s="48">
        <v>0.11</v>
      </c>
      <c r="P256" s="42">
        <f t="shared" si="3"/>
        <v>11872</v>
      </c>
    </row>
    <row r="257" spans="1:16">
      <c r="A257" s="44">
        <v>2010</v>
      </c>
      <c r="B257" s="44" t="s">
        <v>105</v>
      </c>
      <c r="C257" s="44" t="s">
        <v>44</v>
      </c>
      <c r="D257" s="44" t="s">
        <v>268</v>
      </c>
      <c r="E257" s="44">
        <v>80900</v>
      </c>
      <c r="F257" s="44"/>
      <c r="G257" s="44"/>
      <c r="H257" s="44">
        <v>8899</v>
      </c>
      <c r="N257" s="42" t="s">
        <v>274</v>
      </c>
      <c r="O257" s="48">
        <v>0.11</v>
      </c>
      <c r="P257" s="42">
        <f t="shared" si="3"/>
        <v>8899</v>
      </c>
    </row>
    <row r="258" spans="1:16">
      <c r="A258" s="45">
        <v>2010</v>
      </c>
      <c r="B258" s="45" t="s">
        <v>105</v>
      </c>
      <c r="C258" s="45" t="s">
        <v>44</v>
      </c>
      <c r="D258" s="45" t="s">
        <v>269</v>
      </c>
      <c r="E258" s="45">
        <v>61021</v>
      </c>
      <c r="F258" s="45"/>
      <c r="G258" s="45"/>
      <c r="H258" s="45">
        <v>6712</v>
      </c>
      <c r="N258" s="42" t="s">
        <v>275</v>
      </c>
      <c r="O258" s="48">
        <v>0.11</v>
      </c>
      <c r="P258" s="42">
        <f t="shared" si="3"/>
        <v>6712</v>
      </c>
    </row>
    <row r="259" spans="1:16">
      <c r="A259" s="44">
        <v>2010</v>
      </c>
      <c r="B259" s="44" t="s">
        <v>105</v>
      </c>
      <c r="C259" s="44" t="s">
        <v>44</v>
      </c>
      <c r="D259" s="44" t="s">
        <v>254</v>
      </c>
      <c r="E259" s="44">
        <v>51765</v>
      </c>
      <c r="F259" s="44"/>
      <c r="G259" s="44"/>
      <c r="H259" s="44">
        <v>5694</v>
      </c>
      <c r="N259" s="42" t="s">
        <v>276</v>
      </c>
      <c r="O259" s="48">
        <v>0.11</v>
      </c>
      <c r="P259" s="42">
        <f t="shared" si="3"/>
        <v>5694</v>
      </c>
    </row>
    <row r="260" spans="1:16">
      <c r="A260" s="45">
        <v>2010</v>
      </c>
      <c r="B260" s="45" t="s">
        <v>105</v>
      </c>
      <c r="C260" s="45" t="s">
        <v>44</v>
      </c>
      <c r="D260" s="45" t="s">
        <v>270</v>
      </c>
      <c r="E260" s="45">
        <v>33703</v>
      </c>
      <c r="F260" s="45"/>
      <c r="G260" s="45"/>
      <c r="H260" s="45">
        <v>3707</v>
      </c>
      <c r="N260" s="42" t="s">
        <v>277</v>
      </c>
      <c r="O260" s="48">
        <v>0.11</v>
      </c>
      <c r="P260" s="42">
        <f t="shared" si="3"/>
        <v>3707</v>
      </c>
    </row>
    <row r="261" spans="1:16">
      <c r="A261" s="44">
        <v>2010</v>
      </c>
      <c r="B261" s="44" t="s">
        <v>105</v>
      </c>
      <c r="C261" s="44" t="s">
        <v>44</v>
      </c>
      <c r="D261" s="44" t="s">
        <v>271</v>
      </c>
      <c r="E261" s="44">
        <v>34352</v>
      </c>
      <c r="F261" s="44"/>
      <c r="G261" s="44"/>
      <c r="H261" s="44">
        <v>3778</v>
      </c>
      <c r="N261" s="42" t="s">
        <v>278</v>
      </c>
      <c r="O261" s="48">
        <v>0.11</v>
      </c>
      <c r="P261" s="42">
        <f t="shared" si="3"/>
        <v>3778</v>
      </c>
    </row>
    <row r="262" spans="1:16">
      <c r="A262" s="45">
        <v>2010</v>
      </c>
      <c r="B262" s="45" t="s">
        <v>105</v>
      </c>
      <c r="C262" s="45" t="s">
        <v>44</v>
      </c>
      <c r="D262" s="45" t="s">
        <v>272</v>
      </c>
      <c r="E262" s="45">
        <v>26733</v>
      </c>
      <c r="F262" s="45"/>
      <c r="G262" s="45"/>
      <c r="H262" s="45">
        <v>2940</v>
      </c>
      <c r="N262" s="42" t="s">
        <v>279</v>
      </c>
      <c r="O262" s="48">
        <v>0.13</v>
      </c>
      <c r="P262" s="42">
        <f t="shared" si="3"/>
        <v>3475</v>
      </c>
    </row>
    <row r="263" spans="1:16">
      <c r="A263" s="44">
        <v>2010</v>
      </c>
      <c r="B263" s="44" t="s">
        <v>105</v>
      </c>
      <c r="C263" s="44" t="s">
        <v>44</v>
      </c>
      <c r="D263" s="44" t="s">
        <v>273</v>
      </c>
      <c r="E263" s="44">
        <v>24694</v>
      </c>
      <c r="F263" s="44"/>
      <c r="G263" s="44"/>
      <c r="H263" s="44">
        <v>2716</v>
      </c>
      <c r="N263" s="42" t="s">
        <v>280</v>
      </c>
      <c r="O263" s="48">
        <v>0.13</v>
      </c>
      <c r="P263" s="42">
        <f t="shared" si="3"/>
        <v>3210</v>
      </c>
    </row>
    <row r="264" spans="1:16">
      <c r="A264" s="45">
        <v>2010</v>
      </c>
      <c r="B264" s="45" t="s">
        <v>105</v>
      </c>
      <c r="C264" s="45" t="s">
        <v>44</v>
      </c>
      <c r="D264" s="45" t="s">
        <v>274</v>
      </c>
      <c r="E264" s="45">
        <v>17061</v>
      </c>
      <c r="F264" s="45"/>
      <c r="G264" s="45"/>
      <c r="H264" s="45">
        <v>1876</v>
      </c>
      <c r="N264" s="42" t="s">
        <v>281</v>
      </c>
      <c r="O264" s="48">
        <v>0.13</v>
      </c>
      <c r="P264" s="42">
        <f t="shared" si="3"/>
        <v>2217</v>
      </c>
    </row>
    <row r="265" spans="1:16">
      <c r="A265" s="44">
        <v>2010</v>
      </c>
      <c r="B265" s="44" t="s">
        <v>105</v>
      </c>
      <c r="C265" s="44" t="s">
        <v>44</v>
      </c>
      <c r="D265" s="44" t="s">
        <v>275</v>
      </c>
      <c r="E265" s="44">
        <v>14654</v>
      </c>
      <c r="F265" s="44"/>
      <c r="G265" s="44"/>
      <c r="H265" s="44">
        <v>1611</v>
      </c>
      <c r="N265" s="42" t="s">
        <v>282</v>
      </c>
      <c r="O265" s="48">
        <v>0.13</v>
      </c>
      <c r="P265" s="42">
        <f t="shared" si="3"/>
        <v>1905</v>
      </c>
    </row>
    <row r="266" spans="1:16">
      <c r="A266" s="45">
        <v>2010</v>
      </c>
      <c r="B266" s="45" t="s">
        <v>105</v>
      </c>
      <c r="C266" s="45" t="s">
        <v>44</v>
      </c>
      <c r="D266" s="45" t="s">
        <v>276</v>
      </c>
      <c r="E266" s="45">
        <v>9975</v>
      </c>
      <c r="F266" s="45"/>
      <c r="G266" s="45"/>
      <c r="H266" s="45">
        <v>1097</v>
      </c>
      <c r="N266" s="42" t="s">
        <v>283</v>
      </c>
      <c r="O266" s="48">
        <v>0.13</v>
      </c>
      <c r="P266" s="42">
        <f t="shared" ref="P266:P329" si="4">INT(E266*O266)</f>
        <v>1296</v>
      </c>
    </row>
    <row r="267" spans="1:16">
      <c r="A267" s="44">
        <v>2010</v>
      </c>
      <c r="B267" s="44" t="s">
        <v>105</v>
      </c>
      <c r="C267" s="44" t="s">
        <v>44</v>
      </c>
      <c r="D267" s="44" t="s">
        <v>277</v>
      </c>
      <c r="E267" s="44">
        <v>7990</v>
      </c>
      <c r="F267" s="44"/>
      <c r="G267" s="44"/>
      <c r="H267" s="44">
        <v>878</v>
      </c>
      <c r="N267" s="42" t="s">
        <v>284</v>
      </c>
      <c r="O267" s="48">
        <v>0.13</v>
      </c>
      <c r="P267" s="42">
        <f t="shared" si="4"/>
        <v>1038</v>
      </c>
    </row>
    <row r="268" spans="1:16">
      <c r="A268" s="45">
        <v>2010</v>
      </c>
      <c r="B268" s="45" t="s">
        <v>105</v>
      </c>
      <c r="C268" s="45" t="s">
        <v>44</v>
      </c>
      <c r="D268" s="45" t="s">
        <v>278</v>
      </c>
      <c r="E268" s="45">
        <v>5943</v>
      </c>
      <c r="F268" s="45"/>
      <c r="G268" s="45"/>
      <c r="H268" s="45">
        <v>653</v>
      </c>
      <c r="P268" s="42">
        <f t="shared" si="4"/>
        <v>0</v>
      </c>
    </row>
    <row r="269" spans="1:16">
      <c r="A269" s="44">
        <v>2010</v>
      </c>
      <c r="B269" s="44" t="s">
        <v>105</v>
      </c>
      <c r="C269" s="44" t="s">
        <v>44</v>
      </c>
      <c r="D269" s="44" t="s">
        <v>279</v>
      </c>
      <c r="E269" s="44">
        <v>4700</v>
      </c>
      <c r="F269" s="44"/>
      <c r="G269" s="44"/>
      <c r="H269" s="44">
        <v>611</v>
      </c>
      <c r="N269" s="42" t="s">
        <v>267</v>
      </c>
      <c r="O269" s="48">
        <v>0.13</v>
      </c>
      <c r="P269" s="42">
        <f t="shared" si="4"/>
        <v>611</v>
      </c>
    </row>
    <row r="270" spans="1:16">
      <c r="A270" s="45">
        <v>2010</v>
      </c>
      <c r="B270" s="45" t="s">
        <v>105</v>
      </c>
      <c r="C270" s="45" t="s">
        <v>44</v>
      </c>
      <c r="D270" s="45" t="s">
        <v>280</v>
      </c>
      <c r="E270" s="45">
        <v>3229</v>
      </c>
      <c r="F270" s="45"/>
      <c r="G270" s="45"/>
      <c r="H270" s="45">
        <v>419</v>
      </c>
      <c r="N270" s="42" t="s">
        <v>268</v>
      </c>
      <c r="O270" s="48">
        <v>0.11</v>
      </c>
      <c r="P270" s="42">
        <f t="shared" si="4"/>
        <v>355</v>
      </c>
    </row>
    <row r="271" spans="1:16">
      <c r="A271" s="44">
        <v>2010</v>
      </c>
      <c r="B271" s="44" t="s">
        <v>105</v>
      </c>
      <c r="C271" s="44" t="s">
        <v>44</v>
      </c>
      <c r="D271" s="44" t="s">
        <v>281</v>
      </c>
      <c r="E271" s="44">
        <v>854</v>
      </c>
      <c r="F271" s="44"/>
      <c r="G271" s="44"/>
      <c r="H271" s="44">
        <v>111</v>
      </c>
      <c r="N271" s="42" t="s">
        <v>269</v>
      </c>
      <c r="O271" s="48">
        <v>0.11</v>
      </c>
      <c r="P271" s="42">
        <f t="shared" si="4"/>
        <v>93</v>
      </c>
    </row>
    <row r="272" spans="1:16">
      <c r="A272" s="45">
        <v>2010</v>
      </c>
      <c r="B272" s="45" t="s">
        <v>105</v>
      </c>
      <c r="C272" s="45" t="s">
        <v>44</v>
      </c>
      <c r="D272" s="45" t="s">
        <v>282</v>
      </c>
      <c r="E272" s="45">
        <v>972</v>
      </c>
      <c r="F272" s="45"/>
      <c r="G272" s="45"/>
      <c r="H272" s="45">
        <v>126</v>
      </c>
      <c r="N272" s="42" t="s">
        <v>254</v>
      </c>
      <c r="O272" s="48">
        <v>0.11</v>
      </c>
      <c r="P272" s="42">
        <f t="shared" si="4"/>
        <v>106</v>
      </c>
    </row>
    <row r="273" spans="1:16">
      <c r="A273" s="44">
        <v>2010</v>
      </c>
      <c r="B273" s="44" t="s">
        <v>105</v>
      </c>
      <c r="C273" s="44" t="s">
        <v>44</v>
      </c>
      <c r="D273" s="44" t="s">
        <v>283</v>
      </c>
      <c r="E273" s="44">
        <v>536</v>
      </c>
      <c r="F273" s="44"/>
      <c r="G273" s="44"/>
      <c r="H273" s="44">
        <v>69</v>
      </c>
      <c r="N273" s="42" t="s">
        <v>270</v>
      </c>
      <c r="O273" s="48">
        <v>0.11</v>
      </c>
      <c r="P273" s="42">
        <f t="shared" si="4"/>
        <v>58</v>
      </c>
    </row>
    <row r="274" spans="1:16">
      <c r="A274" s="45">
        <v>2010</v>
      </c>
      <c r="B274" s="45" t="s">
        <v>105</v>
      </c>
      <c r="C274" s="45" t="s">
        <v>44</v>
      </c>
      <c r="D274" s="45" t="s">
        <v>284</v>
      </c>
      <c r="E274" s="45">
        <v>202</v>
      </c>
      <c r="F274" s="45"/>
      <c r="G274" s="45"/>
      <c r="H274" s="45">
        <v>26</v>
      </c>
      <c r="N274" s="42" t="s">
        <v>271</v>
      </c>
      <c r="O274" s="48">
        <v>0.11</v>
      </c>
      <c r="P274" s="42">
        <f t="shared" si="4"/>
        <v>22</v>
      </c>
    </row>
    <row r="275" spans="1:16">
      <c r="A275" s="45">
        <v>2010</v>
      </c>
      <c r="B275" s="45" t="s">
        <v>106</v>
      </c>
      <c r="C275" s="45" t="s">
        <v>44</v>
      </c>
      <c r="D275" s="45" t="s">
        <v>267</v>
      </c>
      <c r="E275" s="45">
        <v>194968</v>
      </c>
      <c r="F275" s="45"/>
      <c r="G275" s="45"/>
      <c r="H275" s="45">
        <v>25345</v>
      </c>
      <c r="N275" s="42" t="s">
        <v>272</v>
      </c>
      <c r="O275" s="48">
        <v>0.11</v>
      </c>
      <c r="P275" s="42">
        <f t="shared" si="4"/>
        <v>21446</v>
      </c>
    </row>
    <row r="276" spans="1:16">
      <c r="A276" s="44">
        <v>2010</v>
      </c>
      <c r="B276" s="44" t="s">
        <v>106</v>
      </c>
      <c r="C276" s="44" t="s">
        <v>44</v>
      </c>
      <c r="D276" s="44" t="s">
        <v>268</v>
      </c>
      <c r="E276" s="44">
        <v>139079</v>
      </c>
      <c r="F276" s="44"/>
      <c r="G276" s="44"/>
      <c r="H276" s="44">
        <v>15298</v>
      </c>
      <c r="N276" s="42" t="s">
        <v>273</v>
      </c>
      <c r="O276" s="48">
        <v>0.11</v>
      </c>
      <c r="P276" s="42">
        <f t="shared" si="4"/>
        <v>15298</v>
      </c>
    </row>
    <row r="277" spans="1:16">
      <c r="A277" s="45">
        <v>2010</v>
      </c>
      <c r="B277" s="45" t="s">
        <v>106</v>
      </c>
      <c r="C277" s="45" t="s">
        <v>44</v>
      </c>
      <c r="D277" s="45" t="s">
        <v>269</v>
      </c>
      <c r="E277" s="45">
        <v>123714</v>
      </c>
      <c r="F277" s="45"/>
      <c r="G277" s="45"/>
      <c r="H277" s="45">
        <v>13608</v>
      </c>
      <c r="N277" s="42" t="s">
        <v>274</v>
      </c>
      <c r="O277" s="48">
        <v>0.11</v>
      </c>
      <c r="P277" s="42">
        <f t="shared" si="4"/>
        <v>13608</v>
      </c>
    </row>
    <row r="278" spans="1:16">
      <c r="A278" s="44">
        <v>2010</v>
      </c>
      <c r="B278" s="44" t="s">
        <v>106</v>
      </c>
      <c r="C278" s="44" t="s">
        <v>44</v>
      </c>
      <c r="D278" s="44" t="s">
        <v>254</v>
      </c>
      <c r="E278" s="44">
        <v>120211</v>
      </c>
      <c r="F278" s="44"/>
      <c r="G278" s="44"/>
      <c r="H278" s="44">
        <v>13223</v>
      </c>
      <c r="N278" s="42" t="s">
        <v>275</v>
      </c>
      <c r="O278" s="48">
        <v>0.11</v>
      </c>
      <c r="P278" s="42">
        <f t="shared" si="4"/>
        <v>13223</v>
      </c>
    </row>
    <row r="279" spans="1:16">
      <c r="A279" s="45">
        <v>2010</v>
      </c>
      <c r="B279" s="45" t="s">
        <v>106</v>
      </c>
      <c r="C279" s="45" t="s">
        <v>44</v>
      </c>
      <c r="D279" s="45" t="s">
        <v>270</v>
      </c>
      <c r="E279" s="45">
        <v>105277</v>
      </c>
      <c r="F279" s="45"/>
      <c r="G279" s="45"/>
      <c r="H279" s="45">
        <v>11580</v>
      </c>
      <c r="N279" s="42" t="s">
        <v>276</v>
      </c>
      <c r="O279" s="48">
        <v>0.11</v>
      </c>
      <c r="P279" s="42">
        <f t="shared" si="4"/>
        <v>11580</v>
      </c>
    </row>
    <row r="280" spans="1:16">
      <c r="A280" s="44">
        <v>2010</v>
      </c>
      <c r="B280" s="44" t="s">
        <v>106</v>
      </c>
      <c r="C280" s="44" t="s">
        <v>44</v>
      </c>
      <c r="D280" s="44" t="s">
        <v>271</v>
      </c>
      <c r="E280" s="44">
        <v>108133</v>
      </c>
      <c r="F280" s="44"/>
      <c r="G280" s="44"/>
      <c r="H280" s="44">
        <v>11894</v>
      </c>
      <c r="N280" s="42" t="s">
        <v>277</v>
      </c>
      <c r="O280" s="48">
        <v>0.11</v>
      </c>
      <c r="P280" s="42">
        <f t="shared" si="4"/>
        <v>11894</v>
      </c>
    </row>
    <row r="281" spans="1:16">
      <c r="A281" s="45">
        <v>2010</v>
      </c>
      <c r="B281" s="45" t="s">
        <v>106</v>
      </c>
      <c r="C281" s="45" t="s">
        <v>44</v>
      </c>
      <c r="D281" s="45" t="s">
        <v>272</v>
      </c>
      <c r="E281" s="45">
        <v>88505</v>
      </c>
      <c r="F281" s="45"/>
      <c r="G281" s="45"/>
      <c r="H281" s="45">
        <v>9735</v>
      </c>
      <c r="N281" s="42" t="s">
        <v>278</v>
      </c>
      <c r="O281" s="48">
        <v>0.11</v>
      </c>
      <c r="P281" s="42">
        <f t="shared" si="4"/>
        <v>9735</v>
      </c>
    </row>
    <row r="282" spans="1:16">
      <c r="A282" s="44">
        <v>2010</v>
      </c>
      <c r="B282" s="44" t="s">
        <v>106</v>
      </c>
      <c r="C282" s="44" t="s">
        <v>44</v>
      </c>
      <c r="D282" s="44" t="s">
        <v>273</v>
      </c>
      <c r="E282" s="44">
        <v>73254</v>
      </c>
      <c r="F282" s="44"/>
      <c r="G282" s="44"/>
      <c r="H282" s="44">
        <v>8057</v>
      </c>
      <c r="N282" s="42" t="s">
        <v>279</v>
      </c>
      <c r="O282" s="48">
        <v>0.13</v>
      </c>
      <c r="P282" s="42">
        <f t="shared" si="4"/>
        <v>9523</v>
      </c>
    </row>
    <row r="283" spans="1:16">
      <c r="A283" s="45">
        <v>2010</v>
      </c>
      <c r="B283" s="45" t="s">
        <v>106</v>
      </c>
      <c r="C283" s="45" t="s">
        <v>44</v>
      </c>
      <c r="D283" s="45" t="s">
        <v>274</v>
      </c>
      <c r="E283" s="45">
        <v>41710</v>
      </c>
      <c r="F283" s="45"/>
      <c r="G283" s="45"/>
      <c r="H283" s="45">
        <v>4588</v>
      </c>
      <c r="N283" s="42" t="s">
        <v>280</v>
      </c>
      <c r="O283" s="48">
        <v>0.13</v>
      </c>
      <c r="P283" s="42">
        <f t="shared" si="4"/>
        <v>5422</v>
      </c>
    </row>
    <row r="284" spans="1:16">
      <c r="A284" s="44">
        <v>2010</v>
      </c>
      <c r="B284" s="44" t="s">
        <v>106</v>
      </c>
      <c r="C284" s="44" t="s">
        <v>44</v>
      </c>
      <c r="D284" s="44" t="s">
        <v>275</v>
      </c>
      <c r="E284" s="44">
        <v>30373</v>
      </c>
      <c r="F284" s="44"/>
      <c r="G284" s="44"/>
      <c r="H284" s="44">
        <v>3341</v>
      </c>
      <c r="N284" s="42" t="s">
        <v>281</v>
      </c>
      <c r="O284" s="48">
        <v>0.13</v>
      </c>
      <c r="P284" s="42">
        <f t="shared" si="4"/>
        <v>3948</v>
      </c>
    </row>
    <row r="285" spans="1:16">
      <c r="A285" s="45">
        <v>2010</v>
      </c>
      <c r="B285" s="45" t="s">
        <v>106</v>
      </c>
      <c r="C285" s="45" t="s">
        <v>44</v>
      </c>
      <c r="D285" s="45" t="s">
        <v>276</v>
      </c>
      <c r="E285" s="45">
        <v>19371</v>
      </c>
      <c r="F285" s="45"/>
      <c r="G285" s="45"/>
      <c r="H285" s="45">
        <v>2130</v>
      </c>
      <c r="N285" s="42" t="s">
        <v>282</v>
      </c>
      <c r="O285" s="48">
        <v>0.13</v>
      </c>
      <c r="P285" s="42">
        <f t="shared" si="4"/>
        <v>2518</v>
      </c>
    </row>
    <row r="286" spans="1:16">
      <c r="A286" s="44">
        <v>2010</v>
      </c>
      <c r="B286" s="44" t="s">
        <v>106</v>
      </c>
      <c r="C286" s="44" t="s">
        <v>44</v>
      </c>
      <c r="D286" s="44" t="s">
        <v>277</v>
      </c>
      <c r="E286" s="44">
        <v>14202</v>
      </c>
      <c r="F286" s="44"/>
      <c r="G286" s="44"/>
      <c r="H286" s="44">
        <v>1562</v>
      </c>
      <c r="N286" s="42" t="s">
        <v>283</v>
      </c>
      <c r="O286" s="48">
        <v>0.13</v>
      </c>
      <c r="P286" s="42">
        <f t="shared" si="4"/>
        <v>1846</v>
      </c>
    </row>
    <row r="287" spans="1:16">
      <c r="A287" s="45">
        <v>2010</v>
      </c>
      <c r="B287" s="45" t="s">
        <v>106</v>
      </c>
      <c r="C287" s="45" t="s">
        <v>44</v>
      </c>
      <c r="D287" s="45" t="s">
        <v>278</v>
      </c>
      <c r="E287" s="45">
        <v>9654</v>
      </c>
      <c r="F287" s="45"/>
      <c r="G287" s="45"/>
      <c r="H287" s="45">
        <v>1061</v>
      </c>
      <c r="N287" s="42" t="s">
        <v>284</v>
      </c>
      <c r="O287" s="48">
        <v>0.13</v>
      </c>
      <c r="P287" s="42">
        <f t="shared" si="4"/>
        <v>1255</v>
      </c>
    </row>
    <row r="288" spans="1:16">
      <c r="A288" s="44">
        <v>2010</v>
      </c>
      <c r="B288" s="44" t="s">
        <v>106</v>
      </c>
      <c r="C288" s="44" t="s">
        <v>44</v>
      </c>
      <c r="D288" s="44" t="s">
        <v>279</v>
      </c>
      <c r="E288" s="44">
        <v>6085</v>
      </c>
      <c r="F288" s="44"/>
      <c r="G288" s="44"/>
      <c r="H288" s="44">
        <v>791</v>
      </c>
      <c r="P288" s="42">
        <f t="shared" si="4"/>
        <v>0</v>
      </c>
    </row>
    <row r="289" spans="1:16">
      <c r="A289" s="45">
        <v>2010</v>
      </c>
      <c r="B289" s="45" t="s">
        <v>106</v>
      </c>
      <c r="C289" s="45" t="s">
        <v>44</v>
      </c>
      <c r="D289" s="45" t="s">
        <v>280</v>
      </c>
      <c r="E289" s="45">
        <v>3741</v>
      </c>
      <c r="F289" s="45"/>
      <c r="G289" s="45"/>
      <c r="H289" s="45">
        <v>486</v>
      </c>
      <c r="N289" s="42" t="s">
        <v>267</v>
      </c>
      <c r="O289" s="48">
        <v>0.13</v>
      </c>
      <c r="P289" s="42">
        <f t="shared" si="4"/>
        <v>486</v>
      </c>
    </row>
    <row r="290" spans="1:16">
      <c r="A290" s="44">
        <v>2010</v>
      </c>
      <c r="B290" s="44" t="s">
        <v>106</v>
      </c>
      <c r="C290" s="44" t="s">
        <v>44</v>
      </c>
      <c r="D290" s="44" t="s">
        <v>281</v>
      </c>
      <c r="E290" s="44">
        <v>994</v>
      </c>
      <c r="F290" s="44"/>
      <c r="G290" s="44"/>
      <c r="H290" s="44">
        <v>129</v>
      </c>
      <c r="N290" s="42" t="s">
        <v>268</v>
      </c>
      <c r="O290" s="48">
        <v>0.11</v>
      </c>
      <c r="P290" s="42">
        <f t="shared" si="4"/>
        <v>109</v>
      </c>
    </row>
    <row r="291" spans="1:16">
      <c r="A291" s="45">
        <v>2010</v>
      </c>
      <c r="B291" s="45" t="s">
        <v>106</v>
      </c>
      <c r="C291" s="45" t="s">
        <v>44</v>
      </c>
      <c r="D291" s="45" t="s">
        <v>282</v>
      </c>
      <c r="E291" s="45">
        <v>1129</v>
      </c>
      <c r="F291" s="45"/>
      <c r="G291" s="45"/>
      <c r="H291" s="45">
        <v>146</v>
      </c>
      <c r="N291" s="42" t="s">
        <v>269</v>
      </c>
      <c r="O291" s="48">
        <v>0.11</v>
      </c>
      <c r="P291" s="42">
        <f t="shared" si="4"/>
        <v>124</v>
      </c>
    </row>
    <row r="292" spans="1:16">
      <c r="A292" s="44">
        <v>2010</v>
      </c>
      <c r="B292" s="44" t="s">
        <v>106</v>
      </c>
      <c r="C292" s="44" t="s">
        <v>44</v>
      </c>
      <c r="D292" s="44" t="s">
        <v>283</v>
      </c>
      <c r="E292" s="44">
        <v>784</v>
      </c>
      <c r="F292" s="44"/>
      <c r="G292" s="44"/>
      <c r="H292" s="44">
        <v>101</v>
      </c>
      <c r="N292" s="42" t="s">
        <v>254</v>
      </c>
      <c r="O292" s="48">
        <v>0.11</v>
      </c>
      <c r="P292" s="42">
        <f t="shared" si="4"/>
        <v>86</v>
      </c>
    </row>
    <row r="293" spans="1:16">
      <c r="A293" s="45">
        <v>2010</v>
      </c>
      <c r="B293" s="45" t="s">
        <v>106</v>
      </c>
      <c r="C293" s="45" t="s">
        <v>44</v>
      </c>
      <c r="D293" s="45" t="s">
        <v>284</v>
      </c>
      <c r="E293" s="45">
        <v>385</v>
      </c>
      <c r="F293" s="45"/>
      <c r="G293" s="45"/>
      <c r="H293" s="45">
        <v>50</v>
      </c>
      <c r="N293" s="42" t="s">
        <v>270</v>
      </c>
      <c r="O293" s="48">
        <v>0.11</v>
      </c>
      <c r="P293" s="42">
        <f t="shared" si="4"/>
        <v>42</v>
      </c>
    </row>
    <row r="294" spans="1:16">
      <c r="A294" s="45">
        <v>2010</v>
      </c>
      <c r="B294" s="45" t="s">
        <v>107</v>
      </c>
      <c r="C294" s="45" t="s">
        <v>44</v>
      </c>
      <c r="D294" s="45" t="s">
        <v>267</v>
      </c>
      <c r="E294" s="45">
        <v>78609</v>
      </c>
      <c r="F294" s="45"/>
      <c r="G294" s="45"/>
      <c r="H294" s="45">
        <v>10219</v>
      </c>
      <c r="N294" s="42" t="s">
        <v>271</v>
      </c>
      <c r="O294" s="48">
        <v>0.11</v>
      </c>
      <c r="P294" s="42">
        <f t="shared" si="4"/>
        <v>8646</v>
      </c>
    </row>
    <row r="295" spans="1:16">
      <c r="A295" s="44">
        <v>2010</v>
      </c>
      <c r="B295" s="44" t="s">
        <v>107</v>
      </c>
      <c r="C295" s="44" t="s">
        <v>44</v>
      </c>
      <c r="D295" s="44" t="s">
        <v>268</v>
      </c>
      <c r="E295" s="44">
        <v>58648</v>
      </c>
      <c r="F295" s="44"/>
      <c r="G295" s="44"/>
      <c r="H295" s="44">
        <v>6451</v>
      </c>
      <c r="N295" s="42" t="s">
        <v>272</v>
      </c>
      <c r="O295" s="48">
        <v>0.11</v>
      </c>
      <c r="P295" s="42">
        <f t="shared" si="4"/>
        <v>6451</v>
      </c>
    </row>
    <row r="296" spans="1:16">
      <c r="A296" s="45">
        <v>2010</v>
      </c>
      <c r="B296" s="45" t="s">
        <v>107</v>
      </c>
      <c r="C296" s="45" t="s">
        <v>44</v>
      </c>
      <c r="D296" s="45" t="s">
        <v>269</v>
      </c>
      <c r="E296" s="45">
        <v>45211</v>
      </c>
      <c r="F296" s="45"/>
      <c r="G296" s="45"/>
      <c r="H296" s="45">
        <v>4973</v>
      </c>
      <c r="N296" s="42" t="s">
        <v>273</v>
      </c>
      <c r="O296" s="48">
        <v>0.11</v>
      </c>
      <c r="P296" s="42">
        <f t="shared" si="4"/>
        <v>4973</v>
      </c>
    </row>
    <row r="297" spans="1:16">
      <c r="A297" s="44">
        <v>2010</v>
      </c>
      <c r="B297" s="44" t="s">
        <v>107</v>
      </c>
      <c r="C297" s="44" t="s">
        <v>44</v>
      </c>
      <c r="D297" s="44" t="s">
        <v>254</v>
      </c>
      <c r="E297" s="44">
        <v>36470</v>
      </c>
      <c r="F297" s="44"/>
      <c r="G297" s="44"/>
      <c r="H297" s="44">
        <v>4011</v>
      </c>
      <c r="N297" s="42" t="s">
        <v>274</v>
      </c>
      <c r="O297" s="48">
        <v>0.11</v>
      </c>
      <c r="P297" s="42">
        <f t="shared" si="4"/>
        <v>4011</v>
      </c>
    </row>
    <row r="298" spans="1:16">
      <c r="A298" s="45">
        <v>2010</v>
      </c>
      <c r="B298" s="45" t="s">
        <v>107</v>
      </c>
      <c r="C298" s="45" t="s">
        <v>44</v>
      </c>
      <c r="D298" s="45" t="s">
        <v>270</v>
      </c>
      <c r="E298" s="45">
        <v>26281</v>
      </c>
      <c r="F298" s="45"/>
      <c r="G298" s="45"/>
      <c r="H298" s="45">
        <v>2890</v>
      </c>
      <c r="N298" s="42" t="s">
        <v>275</v>
      </c>
      <c r="O298" s="48">
        <v>0.11</v>
      </c>
      <c r="P298" s="42">
        <f t="shared" si="4"/>
        <v>2890</v>
      </c>
    </row>
    <row r="299" spans="1:16">
      <c r="A299" s="44">
        <v>2010</v>
      </c>
      <c r="B299" s="44" t="s">
        <v>107</v>
      </c>
      <c r="C299" s="44" t="s">
        <v>44</v>
      </c>
      <c r="D299" s="44" t="s">
        <v>271</v>
      </c>
      <c r="E299" s="44">
        <v>24747</v>
      </c>
      <c r="F299" s="44"/>
      <c r="G299" s="44"/>
      <c r="H299" s="44">
        <v>2722</v>
      </c>
      <c r="N299" s="42" t="s">
        <v>276</v>
      </c>
      <c r="O299" s="48">
        <v>0.11</v>
      </c>
      <c r="P299" s="42">
        <f t="shared" si="4"/>
        <v>2722</v>
      </c>
    </row>
    <row r="300" spans="1:16">
      <c r="A300" s="45">
        <v>2010</v>
      </c>
      <c r="B300" s="45" t="s">
        <v>107</v>
      </c>
      <c r="C300" s="45" t="s">
        <v>44</v>
      </c>
      <c r="D300" s="45" t="s">
        <v>272</v>
      </c>
      <c r="E300" s="45">
        <v>18273</v>
      </c>
      <c r="F300" s="45"/>
      <c r="G300" s="45"/>
      <c r="H300" s="45">
        <v>2010</v>
      </c>
      <c r="N300" s="42" t="s">
        <v>277</v>
      </c>
      <c r="O300" s="48">
        <v>0.11</v>
      </c>
      <c r="P300" s="42">
        <f t="shared" si="4"/>
        <v>2010</v>
      </c>
    </row>
    <row r="301" spans="1:16">
      <c r="A301" s="44">
        <v>2010</v>
      </c>
      <c r="B301" s="44" t="s">
        <v>107</v>
      </c>
      <c r="C301" s="44" t="s">
        <v>44</v>
      </c>
      <c r="D301" s="44" t="s">
        <v>273</v>
      </c>
      <c r="E301" s="44">
        <v>16522</v>
      </c>
      <c r="F301" s="44"/>
      <c r="G301" s="44"/>
      <c r="H301" s="44">
        <v>1817</v>
      </c>
      <c r="N301" s="42" t="s">
        <v>278</v>
      </c>
      <c r="O301" s="48">
        <v>0.11</v>
      </c>
      <c r="P301" s="42">
        <f t="shared" si="4"/>
        <v>1817</v>
      </c>
    </row>
    <row r="302" spans="1:16">
      <c r="A302" s="45">
        <v>2010</v>
      </c>
      <c r="B302" s="45" t="s">
        <v>107</v>
      </c>
      <c r="C302" s="45" t="s">
        <v>44</v>
      </c>
      <c r="D302" s="45" t="s">
        <v>274</v>
      </c>
      <c r="E302" s="45">
        <v>10885</v>
      </c>
      <c r="F302" s="45"/>
      <c r="G302" s="45"/>
      <c r="H302" s="45">
        <v>1197</v>
      </c>
      <c r="N302" s="42" t="s">
        <v>279</v>
      </c>
      <c r="O302" s="48">
        <v>0.13</v>
      </c>
      <c r="P302" s="42">
        <f t="shared" si="4"/>
        <v>1415</v>
      </c>
    </row>
    <row r="303" spans="1:16">
      <c r="A303" s="44">
        <v>2010</v>
      </c>
      <c r="B303" s="44" t="s">
        <v>107</v>
      </c>
      <c r="C303" s="44" t="s">
        <v>44</v>
      </c>
      <c r="D303" s="44" t="s">
        <v>275</v>
      </c>
      <c r="E303" s="44">
        <v>9494</v>
      </c>
      <c r="F303" s="44"/>
      <c r="G303" s="44"/>
      <c r="H303" s="44">
        <v>1044</v>
      </c>
      <c r="N303" s="42" t="s">
        <v>280</v>
      </c>
      <c r="O303" s="48">
        <v>0.13</v>
      </c>
      <c r="P303" s="42">
        <f t="shared" si="4"/>
        <v>1234</v>
      </c>
    </row>
    <row r="304" spans="1:16">
      <c r="A304" s="45">
        <v>2010</v>
      </c>
      <c r="B304" s="45" t="s">
        <v>107</v>
      </c>
      <c r="C304" s="45" t="s">
        <v>44</v>
      </c>
      <c r="D304" s="45" t="s">
        <v>276</v>
      </c>
      <c r="E304" s="45">
        <v>6194</v>
      </c>
      <c r="F304" s="45"/>
      <c r="G304" s="45"/>
      <c r="H304" s="45">
        <v>681</v>
      </c>
      <c r="N304" s="42" t="s">
        <v>281</v>
      </c>
      <c r="O304" s="48">
        <v>0.13</v>
      </c>
      <c r="P304" s="42">
        <f t="shared" si="4"/>
        <v>805</v>
      </c>
    </row>
    <row r="305" spans="1:16">
      <c r="A305" s="44">
        <v>2010</v>
      </c>
      <c r="B305" s="44" t="s">
        <v>107</v>
      </c>
      <c r="C305" s="44" t="s">
        <v>44</v>
      </c>
      <c r="D305" s="44" t="s">
        <v>277</v>
      </c>
      <c r="E305" s="44">
        <v>4947</v>
      </c>
      <c r="F305" s="44"/>
      <c r="G305" s="44"/>
      <c r="H305" s="44">
        <v>544</v>
      </c>
      <c r="N305" s="42" t="s">
        <v>282</v>
      </c>
      <c r="O305" s="48">
        <v>0.13</v>
      </c>
      <c r="P305" s="42">
        <f t="shared" si="4"/>
        <v>643</v>
      </c>
    </row>
    <row r="306" spans="1:16">
      <c r="A306" s="45">
        <v>2010</v>
      </c>
      <c r="B306" s="45" t="s">
        <v>107</v>
      </c>
      <c r="C306" s="45" t="s">
        <v>44</v>
      </c>
      <c r="D306" s="45" t="s">
        <v>278</v>
      </c>
      <c r="E306" s="45">
        <v>3934</v>
      </c>
      <c r="F306" s="45"/>
      <c r="G306" s="45"/>
      <c r="H306" s="45">
        <v>432</v>
      </c>
      <c r="N306" s="42" t="s">
        <v>283</v>
      </c>
      <c r="O306" s="48">
        <v>0.13</v>
      </c>
      <c r="P306" s="42">
        <f t="shared" si="4"/>
        <v>511</v>
      </c>
    </row>
    <row r="307" spans="1:16">
      <c r="A307" s="44">
        <v>2010</v>
      </c>
      <c r="B307" s="44" t="s">
        <v>107</v>
      </c>
      <c r="C307" s="44" t="s">
        <v>44</v>
      </c>
      <c r="D307" s="44" t="s">
        <v>279</v>
      </c>
      <c r="E307" s="44">
        <v>3457</v>
      </c>
      <c r="F307" s="44"/>
      <c r="G307" s="44"/>
      <c r="H307" s="44">
        <v>449</v>
      </c>
      <c r="N307" s="42" t="s">
        <v>284</v>
      </c>
      <c r="O307" s="48">
        <v>0.13</v>
      </c>
      <c r="P307" s="42">
        <f t="shared" si="4"/>
        <v>449</v>
      </c>
    </row>
    <row r="308" spans="1:16">
      <c r="A308" s="45">
        <v>2010</v>
      </c>
      <c r="B308" s="45" t="s">
        <v>107</v>
      </c>
      <c r="C308" s="45" t="s">
        <v>44</v>
      </c>
      <c r="D308" s="45" t="s">
        <v>280</v>
      </c>
      <c r="E308" s="45">
        <v>2578</v>
      </c>
      <c r="F308" s="45"/>
      <c r="G308" s="45"/>
      <c r="H308" s="45">
        <v>335</v>
      </c>
      <c r="P308" s="42">
        <f t="shared" si="4"/>
        <v>0</v>
      </c>
    </row>
    <row r="309" spans="1:16">
      <c r="A309" s="44">
        <v>2010</v>
      </c>
      <c r="B309" s="44" t="s">
        <v>107</v>
      </c>
      <c r="C309" s="44" t="s">
        <v>44</v>
      </c>
      <c r="D309" s="44" t="s">
        <v>281</v>
      </c>
      <c r="E309" s="44">
        <v>835</v>
      </c>
      <c r="F309" s="44"/>
      <c r="G309" s="44"/>
      <c r="H309" s="44">
        <v>108</v>
      </c>
      <c r="N309" s="42" t="s">
        <v>267</v>
      </c>
      <c r="O309" s="48">
        <v>0.13</v>
      </c>
      <c r="P309" s="42">
        <f t="shared" si="4"/>
        <v>108</v>
      </c>
    </row>
    <row r="310" spans="1:16">
      <c r="A310" s="45">
        <v>2010</v>
      </c>
      <c r="B310" s="45" t="s">
        <v>107</v>
      </c>
      <c r="C310" s="45" t="s">
        <v>44</v>
      </c>
      <c r="D310" s="45" t="s">
        <v>282</v>
      </c>
      <c r="E310" s="45">
        <v>916</v>
      </c>
      <c r="F310" s="45"/>
      <c r="G310" s="45"/>
      <c r="H310" s="45">
        <v>119</v>
      </c>
      <c r="N310" s="42" t="s">
        <v>268</v>
      </c>
      <c r="O310" s="48">
        <v>0.11</v>
      </c>
      <c r="P310" s="42">
        <f t="shared" si="4"/>
        <v>100</v>
      </c>
    </row>
    <row r="311" spans="1:16">
      <c r="A311" s="44">
        <v>2010</v>
      </c>
      <c r="B311" s="44" t="s">
        <v>107</v>
      </c>
      <c r="C311" s="44" t="s">
        <v>44</v>
      </c>
      <c r="D311" s="44" t="s">
        <v>283</v>
      </c>
      <c r="E311" s="44">
        <v>497</v>
      </c>
      <c r="F311" s="44"/>
      <c r="G311" s="44"/>
      <c r="H311" s="44">
        <v>64</v>
      </c>
      <c r="N311" s="42" t="s">
        <v>269</v>
      </c>
      <c r="O311" s="48">
        <v>0.11</v>
      </c>
      <c r="P311" s="42">
        <f t="shared" si="4"/>
        <v>54</v>
      </c>
    </row>
    <row r="312" spans="1:16">
      <c r="A312" s="45">
        <v>2010</v>
      </c>
      <c r="B312" s="45" t="s">
        <v>107</v>
      </c>
      <c r="C312" s="45" t="s">
        <v>44</v>
      </c>
      <c r="D312" s="45" t="s">
        <v>284</v>
      </c>
      <c r="E312" s="45">
        <v>240</v>
      </c>
      <c r="F312" s="45"/>
      <c r="G312" s="45"/>
      <c r="H312" s="45">
        <v>31</v>
      </c>
      <c r="N312" s="42" t="s">
        <v>254</v>
      </c>
      <c r="O312" s="48">
        <v>0.11</v>
      </c>
      <c r="P312" s="42">
        <f t="shared" si="4"/>
        <v>26</v>
      </c>
    </row>
    <row r="313" spans="1:16">
      <c r="A313" s="45">
        <v>2010</v>
      </c>
      <c r="B313" s="45" t="s">
        <v>109</v>
      </c>
      <c r="C313" s="45" t="s">
        <v>44</v>
      </c>
      <c r="D313" s="45" t="s">
        <v>267</v>
      </c>
      <c r="E313" s="45">
        <v>124514</v>
      </c>
      <c r="F313" s="45"/>
      <c r="G313" s="45"/>
      <c r="H313" s="45">
        <v>16186</v>
      </c>
      <c r="N313" s="42" t="s">
        <v>270</v>
      </c>
      <c r="O313" s="48">
        <v>0.11</v>
      </c>
      <c r="P313" s="42">
        <f t="shared" si="4"/>
        <v>13696</v>
      </c>
    </row>
    <row r="314" spans="1:16">
      <c r="A314" s="44">
        <v>2010</v>
      </c>
      <c r="B314" s="44" t="s">
        <v>109</v>
      </c>
      <c r="C314" s="44" t="s">
        <v>44</v>
      </c>
      <c r="D314" s="44" t="s">
        <v>268</v>
      </c>
      <c r="E314" s="44">
        <v>90500</v>
      </c>
      <c r="F314" s="44"/>
      <c r="G314" s="44"/>
      <c r="H314" s="44">
        <v>9955</v>
      </c>
      <c r="N314" s="42" t="s">
        <v>271</v>
      </c>
      <c r="O314" s="48">
        <v>0.11</v>
      </c>
      <c r="P314" s="42">
        <f t="shared" si="4"/>
        <v>9955</v>
      </c>
    </row>
    <row r="315" spans="1:16">
      <c r="A315" s="45">
        <v>2010</v>
      </c>
      <c r="B315" s="45" t="s">
        <v>109</v>
      </c>
      <c r="C315" s="45" t="s">
        <v>44</v>
      </c>
      <c r="D315" s="45" t="s">
        <v>269</v>
      </c>
      <c r="E315" s="45">
        <v>68249</v>
      </c>
      <c r="F315" s="45"/>
      <c r="G315" s="45"/>
      <c r="H315" s="45">
        <v>7507</v>
      </c>
      <c r="N315" s="42" t="s">
        <v>272</v>
      </c>
      <c r="O315" s="48">
        <v>0.11</v>
      </c>
      <c r="P315" s="42">
        <f t="shared" si="4"/>
        <v>7507</v>
      </c>
    </row>
    <row r="316" spans="1:16">
      <c r="A316" s="44">
        <v>2010</v>
      </c>
      <c r="B316" s="44" t="s">
        <v>109</v>
      </c>
      <c r="C316" s="44" t="s">
        <v>44</v>
      </c>
      <c r="D316" s="44" t="s">
        <v>254</v>
      </c>
      <c r="E316" s="44">
        <v>56615</v>
      </c>
      <c r="F316" s="44"/>
      <c r="G316" s="44"/>
      <c r="H316" s="44">
        <v>6227</v>
      </c>
      <c r="N316" s="42" t="s">
        <v>273</v>
      </c>
      <c r="O316" s="48">
        <v>0.11</v>
      </c>
      <c r="P316" s="42">
        <f t="shared" si="4"/>
        <v>6227</v>
      </c>
    </row>
    <row r="317" spans="1:16">
      <c r="A317" s="45">
        <v>2010</v>
      </c>
      <c r="B317" s="45" t="s">
        <v>109</v>
      </c>
      <c r="C317" s="45" t="s">
        <v>44</v>
      </c>
      <c r="D317" s="45" t="s">
        <v>270</v>
      </c>
      <c r="E317" s="45">
        <v>40196</v>
      </c>
      <c r="F317" s="45"/>
      <c r="G317" s="45"/>
      <c r="H317" s="45">
        <v>4421</v>
      </c>
      <c r="N317" s="42" t="s">
        <v>274</v>
      </c>
      <c r="O317" s="48">
        <v>0.11</v>
      </c>
      <c r="P317" s="42">
        <f t="shared" si="4"/>
        <v>4421</v>
      </c>
    </row>
    <row r="318" spans="1:16">
      <c r="A318" s="44">
        <v>2010</v>
      </c>
      <c r="B318" s="44" t="s">
        <v>109</v>
      </c>
      <c r="C318" s="44" t="s">
        <v>44</v>
      </c>
      <c r="D318" s="44" t="s">
        <v>271</v>
      </c>
      <c r="E318" s="44">
        <v>38865</v>
      </c>
      <c r="F318" s="44"/>
      <c r="G318" s="44"/>
      <c r="H318" s="44">
        <v>4275</v>
      </c>
      <c r="N318" s="42" t="s">
        <v>275</v>
      </c>
      <c r="O318" s="48">
        <v>0.11</v>
      </c>
      <c r="P318" s="42">
        <f t="shared" si="4"/>
        <v>4275</v>
      </c>
    </row>
    <row r="319" spans="1:16">
      <c r="A319" s="45">
        <v>2010</v>
      </c>
      <c r="B319" s="45" t="s">
        <v>109</v>
      </c>
      <c r="C319" s="45" t="s">
        <v>44</v>
      </c>
      <c r="D319" s="45" t="s">
        <v>272</v>
      </c>
      <c r="E319" s="45">
        <v>28496</v>
      </c>
      <c r="F319" s="45"/>
      <c r="G319" s="45"/>
      <c r="H319" s="45">
        <v>3134</v>
      </c>
      <c r="N319" s="42" t="s">
        <v>276</v>
      </c>
      <c r="O319" s="48">
        <v>0.11</v>
      </c>
      <c r="P319" s="42">
        <f t="shared" si="4"/>
        <v>3134</v>
      </c>
    </row>
    <row r="320" spans="1:16">
      <c r="A320" s="44">
        <v>2010</v>
      </c>
      <c r="B320" s="44" t="s">
        <v>109</v>
      </c>
      <c r="C320" s="44" t="s">
        <v>44</v>
      </c>
      <c r="D320" s="44" t="s">
        <v>273</v>
      </c>
      <c r="E320" s="44">
        <v>26338</v>
      </c>
      <c r="F320" s="44"/>
      <c r="G320" s="44"/>
      <c r="H320" s="44">
        <v>2897</v>
      </c>
      <c r="N320" s="42" t="s">
        <v>277</v>
      </c>
      <c r="O320" s="48">
        <v>0.11</v>
      </c>
      <c r="P320" s="42">
        <f t="shared" si="4"/>
        <v>2897</v>
      </c>
    </row>
    <row r="321" spans="1:16">
      <c r="A321" s="45">
        <v>2010</v>
      </c>
      <c r="B321" s="45" t="s">
        <v>109</v>
      </c>
      <c r="C321" s="45" t="s">
        <v>44</v>
      </c>
      <c r="D321" s="45" t="s">
        <v>274</v>
      </c>
      <c r="E321" s="45">
        <v>17758</v>
      </c>
      <c r="F321" s="45"/>
      <c r="G321" s="45"/>
      <c r="H321" s="45">
        <v>1953</v>
      </c>
      <c r="N321" s="42" t="s">
        <v>278</v>
      </c>
      <c r="O321" s="48">
        <v>0.11</v>
      </c>
      <c r="P321" s="42">
        <f t="shared" si="4"/>
        <v>1953</v>
      </c>
    </row>
    <row r="322" spans="1:16">
      <c r="A322" s="44">
        <v>2010</v>
      </c>
      <c r="B322" s="44" t="s">
        <v>109</v>
      </c>
      <c r="C322" s="44" t="s">
        <v>44</v>
      </c>
      <c r="D322" s="44" t="s">
        <v>275</v>
      </c>
      <c r="E322" s="44">
        <v>15971</v>
      </c>
      <c r="F322" s="44"/>
      <c r="G322" s="44"/>
      <c r="H322" s="44">
        <v>1756</v>
      </c>
      <c r="N322" s="42" t="s">
        <v>279</v>
      </c>
      <c r="O322" s="48">
        <v>0.13</v>
      </c>
      <c r="P322" s="42">
        <f t="shared" si="4"/>
        <v>2076</v>
      </c>
    </row>
    <row r="323" spans="1:16">
      <c r="A323" s="45">
        <v>2010</v>
      </c>
      <c r="B323" s="45" t="s">
        <v>109</v>
      </c>
      <c r="C323" s="45" t="s">
        <v>44</v>
      </c>
      <c r="D323" s="45" t="s">
        <v>276</v>
      </c>
      <c r="E323" s="45">
        <v>10403</v>
      </c>
      <c r="F323" s="45"/>
      <c r="G323" s="45"/>
      <c r="H323" s="45">
        <v>1144</v>
      </c>
      <c r="N323" s="42" t="s">
        <v>280</v>
      </c>
      <c r="O323" s="48">
        <v>0.13</v>
      </c>
      <c r="P323" s="42">
        <f t="shared" si="4"/>
        <v>1352</v>
      </c>
    </row>
    <row r="324" spans="1:16">
      <c r="A324" s="44">
        <v>2010</v>
      </c>
      <c r="B324" s="44" t="s">
        <v>109</v>
      </c>
      <c r="C324" s="44" t="s">
        <v>44</v>
      </c>
      <c r="D324" s="44" t="s">
        <v>277</v>
      </c>
      <c r="E324" s="44">
        <v>8286</v>
      </c>
      <c r="F324" s="44"/>
      <c r="G324" s="44"/>
      <c r="H324" s="44">
        <v>911</v>
      </c>
      <c r="N324" s="42" t="s">
        <v>281</v>
      </c>
      <c r="O324" s="48">
        <v>0.13</v>
      </c>
      <c r="P324" s="42">
        <f t="shared" si="4"/>
        <v>1077</v>
      </c>
    </row>
    <row r="325" spans="1:16">
      <c r="A325" s="45">
        <v>2010</v>
      </c>
      <c r="B325" s="45" t="s">
        <v>109</v>
      </c>
      <c r="C325" s="45" t="s">
        <v>44</v>
      </c>
      <c r="D325" s="45" t="s">
        <v>278</v>
      </c>
      <c r="E325" s="45">
        <v>6120</v>
      </c>
      <c r="F325" s="45"/>
      <c r="G325" s="45"/>
      <c r="H325" s="45">
        <v>673</v>
      </c>
      <c r="N325" s="42" t="s">
        <v>282</v>
      </c>
      <c r="O325" s="48">
        <v>0.13</v>
      </c>
      <c r="P325" s="42">
        <f t="shared" si="4"/>
        <v>795</v>
      </c>
    </row>
    <row r="326" spans="1:16">
      <c r="A326" s="44">
        <v>2010</v>
      </c>
      <c r="B326" s="44" t="s">
        <v>109</v>
      </c>
      <c r="C326" s="44" t="s">
        <v>44</v>
      </c>
      <c r="D326" s="44" t="s">
        <v>279</v>
      </c>
      <c r="E326" s="44">
        <v>5378</v>
      </c>
      <c r="F326" s="44"/>
      <c r="G326" s="44"/>
      <c r="H326" s="44">
        <v>699</v>
      </c>
      <c r="N326" s="42" t="s">
        <v>283</v>
      </c>
      <c r="O326" s="48">
        <v>0.13</v>
      </c>
      <c r="P326" s="42">
        <f t="shared" si="4"/>
        <v>699</v>
      </c>
    </row>
    <row r="327" spans="1:16">
      <c r="A327" s="45">
        <v>2010</v>
      </c>
      <c r="B327" s="45" t="s">
        <v>109</v>
      </c>
      <c r="C327" s="45" t="s">
        <v>44</v>
      </c>
      <c r="D327" s="45" t="s">
        <v>280</v>
      </c>
      <c r="E327" s="45">
        <v>3751</v>
      </c>
      <c r="F327" s="45"/>
      <c r="G327" s="45"/>
      <c r="H327" s="45">
        <v>487</v>
      </c>
      <c r="N327" s="42" t="s">
        <v>284</v>
      </c>
      <c r="O327" s="48">
        <v>0.13</v>
      </c>
      <c r="P327" s="42">
        <f t="shared" si="4"/>
        <v>487</v>
      </c>
    </row>
    <row r="328" spans="1:16">
      <c r="A328" s="44">
        <v>2010</v>
      </c>
      <c r="B328" s="44" t="s">
        <v>109</v>
      </c>
      <c r="C328" s="44" t="s">
        <v>44</v>
      </c>
      <c r="D328" s="44" t="s">
        <v>281</v>
      </c>
      <c r="E328" s="44">
        <v>1187</v>
      </c>
      <c r="F328" s="44"/>
      <c r="G328" s="44"/>
      <c r="H328" s="44">
        <v>154</v>
      </c>
      <c r="P328" s="42">
        <f t="shared" si="4"/>
        <v>0</v>
      </c>
    </row>
    <row r="329" spans="1:16">
      <c r="A329" s="45">
        <v>2010</v>
      </c>
      <c r="B329" s="45" t="s">
        <v>109</v>
      </c>
      <c r="C329" s="45" t="s">
        <v>44</v>
      </c>
      <c r="D329" s="45" t="s">
        <v>282</v>
      </c>
      <c r="E329" s="45">
        <v>1289</v>
      </c>
      <c r="F329" s="45"/>
      <c r="G329" s="45"/>
      <c r="H329" s="45">
        <v>167</v>
      </c>
      <c r="N329" s="42" t="s">
        <v>267</v>
      </c>
      <c r="O329" s="48">
        <v>0.13</v>
      </c>
      <c r="P329" s="42">
        <f t="shared" si="4"/>
        <v>167</v>
      </c>
    </row>
    <row r="330" spans="1:16">
      <c r="A330" s="44">
        <v>2010</v>
      </c>
      <c r="B330" s="44" t="s">
        <v>109</v>
      </c>
      <c r="C330" s="44" t="s">
        <v>44</v>
      </c>
      <c r="D330" s="44" t="s">
        <v>283</v>
      </c>
      <c r="E330" s="44">
        <v>779</v>
      </c>
      <c r="F330" s="44"/>
      <c r="G330" s="44"/>
      <c r="H330" s="44">
        <v>101</v>
      </c>
      <c r="N330" s="42" t="s">
        <v>268</v>
      </c>
      <c r="O330" s="48">
        <v>0.11</v>
      </c>
      <c r="P330" s="42">
        <f t="shared" ref="P330:P393" si="5">INT(E330*O330)</f>
        <v>85</v>
      </c>
    </row>
    <row r="331" spans="1:16">
      <c r="A331" s="45">
        <v>2010</v>
      </c>
      <c r="B331" s="45" t="s">
        <v>109</v>
      </c>
      <c r="C331" s="45" t="s">
        <v>44</v>
      </c>
      <c r="D331" s="45" t="s">
        <v>284</v>
      </c>
      <c r="E331" s="45">
        <v>321</v>
      </c>
      <c r="F331" s="45"/>
      <c r="G331" s="45"/>
      <c r="H331" s="45">
        <v>41</v>
      </c>
      <c r="N331" s="42" t="s">
        <v>269</v>
      </c>
      <c r="O331" s="48">
        <v>0.11</v>
      </c>
      <c r="P331" s="42">
        <f t="shared" si="5"/>
        <v>35</v>
      </c>
    </row>
    <row r="332" spans="1:16">
      <c r="A332" s="45">
        <v>2010</v>
      </c>
      <c r="B332" s="45" t="s">
        <v>108</v>
      </c>
      <c r="C332" s="45" t="s">
        <v>44</v>
      </c>
      <c r="D332" s="45" t="s">
        <v>267</v>
      </c>
      <c r="E332" s="45">
        <v>81196</v>
      </c>
      <c r="F332" s="45"/>
      <c r="G332" s="45"/>
      <c r="H332" s="45">
        <v>10555</v>
      </c>
      <c r="N332" s="42" t="s">
        <v>254</v>
      </c>
      <c r="O332" s="48">
        <v>0.11</v>
      </c>
      <c r="P332" s="42">
        <f t="shared" si="5"/>
        <v>8931</v>
      </c>
    </row>
    <row r="333" spans="1:16">
      <c r="A333" s="44">
        <v>2010</v>
      </c>
      <c r="B333" s="44" t="s">
        <v>108</v>
      </c>
      <c r="C333" s="44" t="s">
        <v>44</v>
      </c>
      <c r="D333" s="44" t="s">
        <v>268</v>
      </c>
      <c r="E333" s="44">
        <v>58727</v>
      </c>
      <c r="F333" s="44"/>
      <c r="G333" s="44"/>
      <c r="H333" s="44">
        <v>6459</v>
      </c>
      <c r="N333" s="42" t="s">
        <v>270</v>
      </c>
      <c r="O333" s="48">
        <v>0.11</v>
      </c>
      <c r="P333" s="42">
        <f t="shared" si="5"/>
        <v>6459</v>
      </c>
    </row>
    <row r="334" spans="1:16">
      <c r="A334" s="45">
        <v>2010</v>
      </c>
      <c r="B334" s="45" t="s">
        <v>108</v>
      </c>
      <c r="C334" s="45" t="s">
        <v>44</v>
      </c>
      <c r="D334" s="45" t="s">
        <v>269</v>
      </c>
      <c r="E334" s="45">
        <v>46112</v>
      </c>
      <c r="F334" s="45"/>
      <c r="G334" s="45"/>
      <c r="H334" s="45">
        <v>5072</v>
      </c>
      <c r="N334" s="42" t="s">
        <v>271</v>
      </c>
      <c r="O334" s="48">
        <v>0.11</v>
      </c>
      <c r="P334" s="42">
        <f t="shared" si="5"/>
        <v>5072</v>
      </c>
    </row>
    <row r="335" spans="1:16">
      <c r="A335" s="44">
        <v>2010</v>
      </c>
      <c r="B335" s="44" t="s">
        <v>108</v>
      </c>
      <c r="C335" s="44" t="s">
        <v>44</v>
      </c>
      <c r="D335" s="44" t="s">
        <v>254</v>
      </c>
      <c r="E335" s="44">
        <v>39112</v>
      </c>
      <c r="F335" s="44"/>
      <c r="G335" s="44"/>
      <c r="H335" s="44">
        <v>4302</v>
      </c>
      <c r="N335" s="42" t="s">
        <v>272</v>
      </c>
      <c r="O335" s="48">
        <v>0.11</v>
      </c>
      <c r="P335" s="42">
        <f t="shared" si="5"/>
        <v>4302</v>
      </c>
    </row>
    <row r="336" spans="1:16">
      <c r="A336" s="45">
        <v>2010</v>
      </c>
      <c r="B336" s="45" t="s">
        <v>108</v>
      </c>
      <c r="C336" s="45" t="s">
        <v>44</v>
      </c>
      <c r="D336" s="45" t="s">
        <v>270</v>
      </c>
      <c r="E336" s="45">
        <v>27311</v>
      </c>
      <c r="F336" s="45"/>
      <c r="G336" s="45"/>
      <c r="H336" s="45">
        <v>3004</v>
      </c>
      <c r="N336" s="42" t="s">
        <v>273</v>
      </c>
      <c r="O336" s="48">
        <v>0.11</v>
      </c>
      <c r="P336" s="42">
        <f t="shared" si="5"/>
        <v>3004</v>
      </c>
    </row>
    <row r="337" spans="1:16">
      <c r="A337" s="44">
        <v>2010</v>
      </c>
      <c r="B337" s="44" t="s">
        <v>108</v>
      </c>
      <c r="C337" s="44" t="s">
        <v>44</v>
      </c>
      <c r="D337" s="44" t="s">
        <v>271</v>
      </c>
      <c r="E337" s="44">
        <v>25327</v>
      </c>
      <c r="F337" s="44"/>
      <c r="G337" s="44"/>
      <c r="H337" s="44">
        <v>2785</v>
      </c>
      <c r="N337" s="42" t="s">
        <v>274</v>
      </c>
      <c r="O337" s="48">
        <v>0.11</v>
      </c>
      <c r="P337" s="42">
        <f t="shared" si="5"/>
        <v>2785</v>
      </c>
    </row>
    <row r="338" spans="1:16">
      <c r="A338" s="45">
        <v>2010</v>
      </c>
      <c r="B338" s="45" t="s">
        <v>108</v>
      </c>
      <c r="C338" s="45" t="s">
        <v>44</v>
      </c>
      <c r="D338" s="45" t="s">
        <v>272</v>
      </c>
      <c r="E338" s="45">
        <v>19248</v>
      </c>
      <c r="F338" s="45"/>
      <c r="G338" s="45"/>
      <c r="H338" s="45">
        <v>2117</v>
      </c>
      <c r="N338" s="42" t="s">
        <v>275</v>
      </c>
      <c r="O338" s="48">
        <v>0.11</v>
      </c>
      <c r="P338" s="42">
        <f t="shared" si="5"/>
        <v>2117</v>
      </c>
    </row>
    <row r="339" spans="1:16">
      <c r="A339" s="44">
        <v>2010</v>
      </c>
      <c r="B339" s="44" t="s">
        <v>108</v>
      </c>
      <c r="C339" s="44" t="s">
        <v>44</v>
      </c>
      <c r="D339" s="44" t="s">
        <v>273</v>
      </c>
      <c r="E339" s="44">
        <v>16422</v>
      </c>
      <c r="F339" s="44"/>
      <c r="G339" s="44"/>
      <c r="H339" s="44">
        <v>1806</v>
      </c>
      <c r="N339" s="42" t="s">
        <v>276</v>
      </c>
      <c r="O339" s="48">
        <v>0.11</v>
      </c>
      <c r="P339" s="42">
        <f t="shared" si="5"/>
        <v>1806</v>
      </c>
    </row>
    <row r="340" spans="1:16">
      <c r="A340" s="45">
        <v>2010</v>
      </c>
      <c r="B340" s="45" t="s">
        <v>108</v>
      </c>
      <c r="C340" s="45" t="s">
        <v>44</v>
      </c>
      <c r="D340" s="45" t="s">
        <v>274</v>
      </c>
      <c r="E340" s="45">
        <v>10857</v>
      </c>
      <c r="F340" s="45"/>
      <c r="G340" s="45"/>
      <c r="H340" s="45">
        <v>1194</v>
      </c>
      <c r="N340" s="42" t="s">
        <v>277</v>
      </c>
      <c r="O340" s="48">
        <v>0.11</v>
      </c>
      <c r="P340" s="42">
        <f t="shared" si="5"/>
        <v>1194</v>
      </c>
    </row>
    <row r="341" spans="1:16">
      <c r="A341" s="44">
        <v>2010</v>
      </c>
      <c r="B341" s="44" t="s">
        <v>108</v>
      </c>
      <c r="C341" s="44" t="s">
        <v>44</v>
      </c>
      <c r="D341" s="44" t="s">
        <v>275</v>
      </c>
      <c r="E341" s="44">
        <v>9503</v>
      </c>
      <c r="F341" s="44"/>
      <c r="G341" s="44"/>
      <c r="H341" s="44">
        <v>1045</v>
      </c>
      <c r="N341" s="42" t="s">
        <v>278</v>
      </c>
      <c r="O341" s="48">
        <v>0.11</v>
      </c>
      <c r="P341" s="42">
        <f t="shared" si="5"/>
        <v>1045</v>
      </c>
    </row>
    <row r="342" spans="1:16">
      <c r="A342" s="45">
        <v>2010</v>
      </c>
      <c r="B342" s="45" t="s">
        <v>108</v>
      </c>
      <c r="C342" s="45" t="s">
        <v>44</v>
      </c>
      <c r="D342" s="45" t="s">
        <v>276</v>
      </c>
      <c r="E342" s="45">
        <v>6152</v>
      </c>
      <c r="F342" s="45"/>
      <c r="G342" s="45"/>
      <c r="H342" s="45">
        <v>676</v>
      </c>
      <c r="N342" s="42" t="s">
        <v>279</v>
      </c>
      <c r="O342" s="48">
        <v>0.13</v>
      </c>
      <c r="P342" s="42">
        <f t="shared" si="5"/>
        <v>799</v>
      </c>
    </row>
    <row r="343" spans="1:16">
      <c r="A343" s="44">
        <v>2010</v>
      </c>
      <c r="B343" s="44" t="s">
        <v>108</v>
      </c>
      <c r="C343" s="44" t="s">
        <v>44</v>
      </c>
      <c r="D343" s="44" t="s">
        <v>277</v>
      </c>
      <c r="E343" s="44">
        <v>4973</v>
      </c>
      <c r="F343" s="44"/>
      <c r="G343" s="44"/>
      <c r="H343" s="44">
        <v>547</v>
      </c>
      <c r="N343" s="42" t="s">
        <v>280</v>
      </c>
      <c r="O343" s="48">
        <v>0.13</v>
      </c>
      <c r="P343" s="42">
        <f t="shared" si="5"/>
        <v>646</v>
      </c>
    </row>
    <row r="344" spans="1:16">
      <c r="A344" s="45">
        <v>2010</v>
      </c>
      <c r="B344" s="45" t="s">
        <v>108</v>
      </c>
      <c r="C344" s="45" t="s">
        <v>44</v>
      </c>
      <c r="D344" s="45" t="s">
        <v>278</v>
      </c>
      <c r="E344" s="45">
        <v>3685</v>
      </c>
      <c r="F344" s="45"/>
      <c r="G344" s="45"/>
      <c r="H344" s="45">
        <v>405</v>
      </c>
      <c r="N344" s="42" t="s">
        <v>281</v>
      </c>
      <c r="O344" s="48">
        <v>0.13</v>
      </c>
      <c r="P344" s="42">
        <f t="shared" si="5"/>
        <v>479</v>
      </c>
    </row>
    <row r="345" spans="1:16">
      <c r="A345" s="44">
        <v>2010</v>
      </c>
      <c r="B345" s="44" t="s">
        <v>108</v>
      </c>
      <c r="C345" s="44" t="s">
        <v>44</v>
      </c>
      <c r="D345" s="44" t="s">
        <v>279</v>
      </c>
      <c r="E345" s="44">
        <v>3224</v>
      </c>
      <c r="F345" s="44"/>
      <c r="G345" s="44"/>
      <c r="H345" s="44">
        <v>419</v>
      </c>
      <c r="N345" s="42" t="s">
        <v>282</v>
      </c>
      <c r="O345" s="48">
        <v>0.13</v>
      </c>
      <c r="P345" s="42">
        <f t="shared" si="5"/>
        <v>419</v>
      </c>
    </row>
    <row r="346" spans="1:16">
      <c r="A346" s="45">
        <v>2010</v>
      </c>
      <c r="B346" s="45" t="s">
        <v>108</v>
      </c>
      <c r="C346" s="45" t="s">
        <v>44</v>
      </c>
      <c r="D346" s="45" t="s">
        <v>280</v>
      </c>
      <c r="E346" s="45">
        <v>2327</v>
      </c>
      <c r="F346" s="45"/>
      <c r="G346" s="45"/>
      <c r="H346" s="45">
        <v>302</v>
      </c>
      <c r="N346" s="42" t="s">
        <v>283</v>
      </c>
      <c r="O346" s="48">
        <v>0.13</v>
      </c>
      <c r="P346" s="42">
        <f t="shared" si="5"/>
        <v>302</v>
      </c>
    </row>
    <row r="347" spans="1:16">
      <c r="A347" s="44">
        <v>2010</v>
      </c>
      <c r="B347" s="44" t="s">
        <v>108</v>
      </c>
      <c r="C347" s="44" t="s">
        <v>44</v>
      </c>
      <c r="D347" s="44" t="s">
        <v>281</v>
      </c>
      <c r="E347" s="44">
        <v>804</v>
      </c>
      <c r="F347" s="44"/>
      <c r="G347" s="44"/>
      <c r="H347" s="44">
        <v>104</v>
      </c>
      <c r="N347" s="42" t="s">
        <v>284</v>
      </c>
      <c r="O347" s="48">
        <v>0.13</v>
      </c>
      <c r="P347" s="42">
        <f t="shared" si="5"/>
        <v>104</v>
      </c>
    </row>
    <row r="348" spans="1:16">
      <c r="A348" s="45">
        <v>2010</v>
      </c>
      <c r="B348" s="45" t="s">
        <v>108</v>
      </c>
      <c r="C348" s="45" t="s">
        <v>44</v>
      </c>
      <c r="D348" s="45" t="s">
        <v>282</v>
      </c>
      <c r="E348" s="45">
        <v>879</v>
      </c>
      <c r="F348" s="45"/>
      <c r="G348" s="45"/>
      <c r="H348" s="45">
        <v>114</v>
      </c>
      <c r="P348" s="42">
        <f t="shared" si="5"/>
        <v>0</v>
      </c>
    </row>
    <row r="349" spans="1:16">
      <c r="A349" s="44">
        <v>2010</v>
      </c>
      <c r="B349" s="44" t="s">
        <v>108</v>
      </c>
      <c r="C349" s="44" t="s">
        <v>44</v>
      </c>
      <c r="D349" s="44" t="s">
        <v>283</v>
      </c>
      <c r="E349" s="44">
        <v>637</v>
      </c>
      <c r="F349" s="44"/>
      <c r="G349" s="44"/>
      <c r="H349" s="44">
        <v>82</v>
      </c>
      <c r="N349" s="42" t="s">
        <v>267</v>
      </c>
      <c r="O349" s="48">
        <v>0.13</v>
      </c>
      <c r="P349" s="42">
        <f t="shared" si="5"/>
        <v>82</v>
      </c>
    </row>
    <row r="350" spans="1:16">
      <c r="A350" s="45">
        <v>2010</v>
      </c>
      <c r="B350" s="45" t="s">
        <v>108</v>
      </c>
      <c r="C350" s="45" t="s">
        <v>44</v>
      </c>
      <c r="D350" s="45" t="s">
        <v>284</v>
      </c>
      <c r="E350" s="45">
        <v>434</v>
      </c>
      <c r="F350" s="45"/>
      <c r="G350" s="45"/>
      <c r="H350" s="45">
        <v>56</v>
      </c>
      <c r="N350" s="42" t="s">
        <v>268</v>
      </c>
      <c r="O350" s="48">
        <v>0.11</v>
      </c>
      <c r="P350" s="42">
        <f t="shared" si="5"/>
        <v>47</v>
      </c>
    </row>
    <row r="351" spans="1:16">
      <c r="A351" s="45">
        <v>2010</v>
      </c>
      <c r="B351" s="45" t="s">
        <v>110</v>
      </c>
      <c r="C351" s="45" t="s">
        <v>44</v>
      </c>
      <c r="D351" s="45" t="s">
        <v>267</v>
      </c>
      <c r="E351" s="45">
        <v>171153</v>
      </c>
      <c r="F351" s="45"/>
      <c r="G351" s="45"/>
      <c r="H351" s="45">
        <v>22249</v>
      </c>
      <c r="N351" s="42" t="s">
        <v>269</v>
      </c>
      <c r="O351" s="48">
        <v>0.11</v>
      </c>
      <c r="P351" s="42">
        <f t="shared" si="5"/>
        <v>18826</v>
      </c>
    </row>
    <row r="352" spans="1:16">
      <c r="A352" s="44">
        <v>2010</v>
      </c>
      <c r="B352" s="44" t="s">
        <v>110</v>
      </c>
      <c r="C352" s="44" t="s">
        <v>44</v>
      </c>
      <c r="D352" s="44" t="s">
        <v>268</v>
      </c>
      <c r="E352" s="44">
        <v>123997</v>
      </c>
      <c r="F352" s="44"/>
      <c r="G352" s="44"/>
      <c r="H352" s="44">
        <v>13639</v>
      </c>
      <c r="N352" s="42" t="s">
        <v>254</v>
      </c>
      <c r="O352" s="48">
        <v>0.11</v>
      </c>
      <c r="P352" s="42">
        <f t="shared" si="5"/>
        <v>13639</v>
      </c>
    </row>
    <row r="353" spans="1:16">
      <c r="A353" s="45">
        <v>2010</v>
      </c>
      <c r="B353" s="45" t="s">
        <v>110</v>
      </c>
      <c r="C353" s="45" t="s">
        <v>44</v>
      </c>
      <c r="D353" s="45" t="s">
        <v>269</v>
      </c>
      <c r="E353" s="45">
        <v>102017</v>
      </c>
      <c r="F353" s="45"/>
      <c r="G353" s="45"/>
      <c r="H353" s="45">
        <v>11221</v>
      </c>
      <c r="N353" s="42" t="s">
        <v>270</v>
      </c>
      <c r="O353" s="48">
        <v>0.11</v>
      </c>
      <c r="P353" s="42">
        <f t="shared" si="5"/>
        <v>11221</v>
      </c>
    </row>
    <row r="354" spans="1:16">
      <c r="A354" s="44">
        <v>2010</v>
      </c>
      <c r="B354" s="44" t="s">
        <v>110</v>
      </c>
      <c r="C354" s="44" t="s">
        <v>44</v>
      </c>
      <c r="D354" s="44" t="s">
        <v>254</v>
      </c>
      <c r="E354" s="44">
        <v>90591</v>
      </c>
      <c r="F354" s="44"/>
      <c r="G354" s="44"/>
      <c r="H354" s="44">
        <v>9965</v>
      </c>
      <c r="N354" s="42" t="s">
        <v>271</v>
      </c>
      <c r="O354" s="48">
        <v>0.11</v>
      </c>
      <c r="P354" s="42">
        <f t="shared" si="5"/>
        <v>9965</v>
      </c>
    </row>
    <row r="355" spans="1:16">
      <c r="A355" s="45">
        <v>2010</v>
      </c>
      <c r="B355" s="45" t="s">
        <v>110</v>
      </c>
      <c r="C355" s="45" t="s">
        <v>44</v>
      </c>
      <c r="D355" s="45" t="s">
        <v>270</v>
      </c>
      <c r="E355" s="45">
        <v>65119</v>
      </c>
      <c r="F355" s="45"/>
      <c r="G355" s="45"/>
      <c r="H355" s="45">
        <v>7163</v>
      </c>
      <c r="N355" s="42" t="s">
        <v>272</v>
      </c>
      <c r="O355" s="48">
        <v>0.11</v>
      </c>
      <c r="P355" s="42">
        <f t="shared" si="5"/>
        <v>7163</v>
      </c>
    </row>
    <row r="356" spans="1:16">
      <c r="A356" s="44">
        <v>2010</v>
      </c>
      <c r="B356" s="44" t="s">
        <v>110</v>
      </c>
      <c r="C356" s="44" t="s">
        <v>44</v>
      </c>
      <c r="D356" s="44" t="s">
        <v>271</v>
      </c>
      <c r="E356" s="44">
        <v>56770</v>
      </c>
      <c r="F356" s="44"/>
      <c r="G356" s="44"/>
      <c r="H356" s="44">
        <v>6244</v>
      </c>
      <c r="N356" s="42" t="s">
        <v>273</v>
      </c>
      <c r="O356" s="48">
        <v>0.11</v>
      </c>
      <c r="P356" s="42">
        <f t="shared" si="5"/>
        <v>6244</v>
      </c>
    </row>
    <row r="357" spans="1:16">
      <c r="A357" s="45">
        <v>2010</v>
      </c>
      <c r="B357" s="45" t="s">
        <v>110</v>
      </c>
      <c r="C357" s="45" t="s">
        <v>44</v>
      </c>
      <c r="D357" s="45" t="s">
        <v>272</v>
      </c>
      <c r="E357" s="45">
        <v>45947</v>
      </c>
      <c r="F357" s="45"/>
      <c r="G357" s="45"/>
      <c r="H357" s="45">
        <v>5054</v>
      </c>
      <c r="N357" s="42" t="s">
        <v>274</v>
      </c>
      <c r="O357" s="48">
        <v>0.11</v>
      </c>
      <c r="P357" s="42">
        <f t="shared" si="5"/>
        <v>5054</v>
      </c>
    </row>
    <row r="358" spans="1:16">
      <c r="A358" s="44">
        <v>2010</v>
      </c>
      <c r="B358" s="44" t="s">
        <v>110</v>
      </c>
      <c r="C358" s="44" t="s">
        <v>44</v>
      </c>
      <c r="D358" s="44" t="s">
        <v>273</v>
      </c>
      <c r="E358" s="44">
        <v>36472</v>
      </c>
      <c r="F358" s="44"/>
      <c r="G358" s="44"/>
      <c r="H358" s="44">
        <v>4011</v>
      </c>
      <c r="N358" s="42" t="s">
        <v>275</v>
      </c>
      <c r="O358" s="48">
        <v>0.11</v>
      </c>
      <c r="P358" s="42">
        <f t="shared" si="5"/>
        <v>4011</v>
      </c>
    </row>
    <row r="359" spans="1:16">
      <c r="A359" s="45">
        <v>2010</v>
      </c>
      <c r="B359" s="45" t="s">
        <v>110</v>
      </c>
      <c r="C359" s="45" t="s">
        <v>44</v>
      </c>
      <c r="D359" s="45" t="s">
        <v>274</v>
      </c>
      <c r="E359" s="45">
        <v>23495</v>
      </c>
      <c r="F359" s="45"/>
      <c r="G359" s="45"/>
      <c r="H359" s="45">
        <v>2584</v>
      </c>
      <c r="N359" s="42" t="s">
        <v>276</v>
      </c>
      <c r="O359" s="48">
        <v>0.11</v>
      </c>
      <c r="P359" s="42">
        <f t="shared" si="5"/>
        <v>2584</v>
      </c>
    </row>
    <row r="360" spans="1:16">
      <c r="A360" s="44">
        <v>2010</v>
      </c>
      <c r="B360" s="44" t="s">
        <v>110</v>
      </c>
      <c r="C360" s="44" t="s">
        <v>44</v>
      </c>
      <c r="D360" s="44" t="s">
        <v>275</v>
      </c>
      <c r="E360" s="44">
        <v>19333</v>
      </c>
      <c r="F360" s="44"/>
      <c r="G360" s="44"/>
      <c r="H360" s="44">
        <v>2126</v>
      </c>
      <c r="N360" s="42" t="s">
        <v>277</v>
      </c>
      <c r="O360" s="48">
        <v>0.11</v>
      </c>
      <c r="P360" s="42">
        <f t="shared" si="5"/>
        <v>2126</v>
      </c>
    </row>
    <row r="361" spans="1:16">
      <c r="A361" s="45">
        <v>2010</v>
      </c>
      <c r="B361" s="45" t="s">
        <v>110</v>
      </c>
      <c r="C361" s="45" t="s">
        <v>44</v>
      </c>
      <c r="D361" s="45" t="s">
        <v>276</v>
      </c>
      <c r="E361" s="45">
        <v>13083</v>
      </c>
      <c r="F361" s="45"/>
      <c r="G361" s="45"/>
      <c r="H361" s="45">
        <v>1439</v>
      </c>
      <c r="N361" s="42" t="s">
        <v>278</v>
      </c>
      <c r="O361" s="48">
        <v>0.11</v>
      </c>
      <c r="P361" s="42">
        <f t="shared" si="5"/>
        <v>1439</v>
      </c>
    </row>
    <row r="362" spans="1:16">
      <c r="A362" s="44">
        <v>2010</v>
      </c>
      <c r="B362" s="44" t="s">
        <v>110</v>
      </c>
      <c r="C362" s="44" t="s">
        <v>44</v>
      </c>
      <c r="D362" s="44" t="s">
        <v>277</v>
      </c>
      <c r="E362" s="44">
        <v>9135</v>
      </c>
      <c r="F362" s="44"/>
      <c r="G362" s="44"/>
      <c r="H362" s="44">
        <v>1004</v>
      </c>
      <c r="N362" s="42" t="s">
        <v>279</v>
      </c>
      <c r="O362" s="48">
        <v>0.13</v>
      </c>
      <c r="P362" s="42">
        <f t="shared" si="5"/>
        <v>1187</v>
      </c>
    </row>
    <row r="363" spans="1:16">
      <c r="A363" s="45">
        <v>2010</v>
      </c>
      <c r="B363" s="45" t="s">
        <v>110</v>
      </c>
      <c r="C363" s="45" t="s">
        <v>44</v>
      </c>
      <c r="D363" s="45" t="s">
        <v>278</v>
      </c>
      <c r="E363" s="45">
        <v>6896</v>
      </c>
      <c r="F363" s="45"/>
      <c r="G363" s="45"/>
      <c r="H363" s="45">
        <v>758</v>
      </c>
      <c r="N363" s="42" t="s">
        <v>280</v>
      </c>
      <c r="O363" s="48">
        <v>0.13</v>
      </c>
      <c r="P363" s="42">
        <f t="shared" si="5"/>
        <v>896</v>
      </c>
    </row>
    <row r="364" spans="1:16">
      <c r="A364" s="44">
        <v>2010</v>
      </c>
      <c r="B364" s="44" t="s">
        <v>110</v>
      </c>
      <c r="C364" s="44" t="s">
        <v>44</v>
      </c>
      <c r="D364" s="44" t="s">
        <v>279</v>
      </c>
      <c r="E364" s="44">
        <v>5592</v>
      </c>
      <c r="F364" s="44"/>
      <c r="G364" s="44"/>
      <c r="H364" s="44">
        <v>726</v>
      </c>
      <c r="N364" s="42" t="s">
        <v>281</v>
      </c>
      <c r="O364" s="48">
        <v>0.13</v>
      </c>
      <c r="P364" s="42">
        <f t="shared" si="5"/>
        <v>726</v>
      </c>
    </row>
    <row r="365" spans="1:16">
      <c r="A365" s="45">
        <v>2010</v>
      </c>
      <c r="B365" s="45" t="s">
        <v>110</v>
      </c>
      <c r="C365" s="45" t="s">
        <v>44</v>
      </c>
      <c r="D365" s="45" t="s">
        <v>280</v>
      </c>
      <c r="E365" s="45">
        <v>3968</v>
      </c>
      <c r="F365" s="45"/>
      <c r="G365" s="45"/>
      <c r="H365" s="45">
        <v>515</v>
      </c>
      <c r="N365" s="42" t="s">
        <v>282</v>
      </c>
      <c r="O365" s="48">
        <v>0.13</v>
      </c>
      <c r="P365" s="42">
        <f t="shared" si="5"/>
        <v>515</v>
      </c>
    </row>
    <row r="366" spans="1:16">
      <c r="A366" s="44">
        <v>2010</v>
      </c>
      <c r="B366" s="44" t="s">
        <v>110</v>
      </c>
      <c r="C366" s="44" t="s">
        <v>44</v>
      </c>
      <c r="D366" s="44" t="s">
        <v>281</v>
      </c>
      <c r="E366" s="44">
        <v>1185</v>
      </c>
      <c r="F366" s="44"/>
      <c r="G366" s="44"/>
      <c r="H366" s="44">
        <v>154</v>
      </c>
      <c r="N366" s="42" t="s">
        <v>283</v>
      </c>
      <c r="O366" s="48">
        <v>0.13</v>
      </c>
      <c r="P366" s="42">
        <f t="shared" si="5"/>
        <v>154</v>
      </c>
    </row>
    <row r="367" spans="1:16">
      <c r="A367" s="45">
        <v>2010</v>
      </c>
      <c r="B367" s="45" t="s">
        <v>110</v>
      </c>
      <c r="C367" s="45" t="s">
        <v>44</v>
      </c>
      <c r="D367" s="45" t="s">
        <v>282</v>
      </c>
      <c r="E367" s="45">
        <v>1453</v>
      </c>
      <c r="F367" s="45"/>
      <c r="G367" s="45"/>
      <c r="H367" s="45">
        <v>188</v>
      </c>
      <c r="N367" s="42" t="s">
        <v>284</v>
      </c>
      <c r="O367" s="48">
        <v>0.13</v>
      </c>
      <c r="P367" s="42">
        <f t="shared" si="5"/>
        <v>188</v>
      </c>
    </row>
    <row r="368" spans="1:16">
      <c r="A368" s="44">
        <v>2010</v>
      </c>
      <c r="B368" s="44" t="s">
        <v>110</v>
      </c>
      <c r="C368" s="44" t="s">
        <v>44</v>
      </c>
      <c r="D368" s="44" t="s">
        <v>283</v>
      </c>
      <c r="E368" s="44">
        <v>954</v>
      </c>
      <c r="F368" s="44"/>
      <c r="G368" s="44"/>
      <c r="H368" s="44">
        <v>124</v>
      </c>
      <c r="P368" s="42">
        <f t="shared" si="5"/>
        <v>0</v>
      </c>
    </row>
    <row r="369" spans="1:16">
      <c r="A369" s="45">
        <v>2010</v>
      </c>
      <c r="B369" s="45" t="s">
        <v>110</v>
      </c>
      <c r="C369" s="45" t="s">
        <v>44</v>
      </c>
      <c r="D369" s="45" t="s">
        <v>284</v>
      </c>
      <c r="E369" s="45">
        <v>591</v>
      </c>
      <c r="F369" s="45"/>
      <c r="G369" s="45"/>
      <c r="H369" s="45">
        <v>76</v>
      </c>
      <c r="N369" s="42" t="s">
        <v>267</v>
      </c>
      <c r="O369" s="48">
        <v>0.13</v>
      </c>
      <c r="P369" s="42">
        <f t="shared" si="5"/>
        <v>76</v>
      </c>
    </row>
    <row r="370" spans="1:16">
      <c r="A370" s="45">
        <v>2010</v>
      </c>
      <c r="B370" s="45" t="s">
        <v>111</v>
      </c>
      <c r="C370" s="45" t="s">
        <v>44</v>
      </c>
      <c r="D370" s="45" t="s">
        <v>267</v>
      </c>
      <c r="E370" s="45">
        <v>97690</v>
      </c>
      <c r="F370" s="45"/>
      <c r="G370" s="45"/>
      <c r="H370" s="45">
        <v>12699</v>
      </c>
      <c r="N370" s="42" t="s">
        <v>268</v>
      </c>
      <c r="O370" s="48">
        <v>0.11</v>
      </c>
      <c r="P370" s="42">
        <f t="shared" si="5"/>
        <v>10745</v>
      </c>
    </row>
    <row r="371" spans="1:16">
      <c r="A371" s="44">
        <v>2010</v>
      </c>
      <c r="B371" s="44" t="s">
        <v>111</v>
      </c>
      <c r="C371" s="44" t="s">
        <v>44</v>
      </c>
      <c r="D371" s="44" t="s">
        <v>268</v>
      </c>
      <c r="E371" s="44">
        <v>69316</v>
      </c>
      <c r="F371" s="44"/>
      <c r="G371" s="44"/>
      <c r="H371" s="44">
        <v>7624</v>
      </c>
      <c r="N371" s="42" t="s">
        <v>269</v>
      </c>
      <c r="O371" s="48">
        <v>0.11</v>
      </c>
      <c r="P371" s="42">
        <f t="shared" si="5"/>
        <v>7624</v>
      </c>
    </row>
    <row r="372" spans="1:16">
      <c r="A372" s="45">
        <v>2010</v>
      </c>
      <c r="B372" s="45" t="s">
        <v>111</v>
      </c>
      <c r="C372" s="45" t="s">
        <v>44</v>
      </c>
      <c r="D372" s="45" t="s">
        <v>269</v>
      </c>
      <c r="E372" s="45">
        <v>54074</v>
      </c>
      <c r="F372" s="45"/>
      <c r="G372" s="45"/>
      <c r="H372" s="45">
        <v>5948</v>
      </c>
      <c r="N372" s="42" t="s">
        <v>254</v>
      </c>
      <c r="O372" s="48">
        <v>0.11</v>
      </c>
      <c r="P372" s="42">
        <f t="shared" si="5"/>
        <v>5948</v>
      </c>
    </row>
    <row r="373" spans="1:16">
      <c r="A373" s="44">
        <v>2010</v>
      </c>
      <c r="B373" s="44" t="s">
        <v>111</v>
      </c>
      <c r="C373" s="44" t="s">
        <v>44</v>
      </c>
      <c r="D373" s="44" t="s">
        <v>254</v>
      </c>
      <c r="E373" s="44">
        <v>46642</v>
      </c>
      <c r="F373" s="44"/>
      <c r="G373" s="44"/>
      <c r="H373" s="44">
        <v>5130</v>
      </c>
      <c r="N373" s="42" t="s">
        <v>270</v>
      </c>
      <c r="O373" s="48">
        <v>0.11</v>
      </c>
      <c r="P373" s="42">
        <f t="shared" si="5"/>
        <v>5130</v>
      </c>
    </row>
    <row r="374" spans="1:16">
      <c r="A374" s="45">
        <v>2010</v>
      </c>
      <c r="B374" s="45" t="s">
        <v>111</v>
      </c>
      <c r="C374" s="45" t="s">
        <v>44</v>
      </c>
      <c r="D374" s="45" t="s">
        <v>270</v>
      </c>
      <c r="E374" s="45">
        <v>32916</v>
      </c>
      <c r="F374" s="45"/>
      <c r="G374" s="45"/>
      <c r="H374" s="45">
        <v>3620</v>
      </c>
      <c r="N374" s="42" t="s">
        <v>271</v>
      </c>
      <c r="O374" s="48">
        <v>0.11</v>
      </c>
      <c r="P374" s="42">
        <f t="shared" si="5"/>
        <v>3620</v>
      </c>
    </row>
    <row r="375" spans="1:16">
      <c r="A375" s="44">
        <v>2010</v>
      </c>
      <c r="B375" s="44" t="s">
        <v>111</v>
      </c>
      <c r="C375" s="44" t="s">
        <v>44</v>
      </c>
      <c r="D375" s="44" t="s">
        <v>271</v>
      </c>
      <c r="E375" s="44">
        <v>30507</v>
      </c>
      <c r="F375" s="44"/>
      <c r="G375" s="44"/>
      <c r="H375" s="44">
        <v>3355</v>
      </c>
      <c r="N375" s="42" t="s">
        <v>272</v>
      </c>
      <c r="O375" s="48">
        <v>0.11</v>
      </c>
      <c r="P375" s="42">
        <f t="shared" si="5"/>
        <v>3355</v>
      </c>
    </row>
    <row r="376" spans="1:16">
      <c r="A376" s="45">
        <v>2010</v>
      </c>
      <c r="B376" s="45" t="s">
        <v>111</v>
      </c>
      <c r="C376" s="45" t="s">
        <v>44</v>
      </c>
      <c r="D376" s="45" t="s">
        <v>272</v>
      </c>
      <c r="E376" s="45">
        <v>23376</v>
      </c>
      <c r="F376" s="45"/>
      <c r="G376" s="45"/>
      <c r="H376" s="45">
        <v>2571</v>
      </c>
      <c r="N376" s="42" t="s">
        <v>273</v>
      </c>
      <c r="O376" s="48">
        <v>0.11</v>
      </c>
      <c r="P376" s="42">
        <f t="shared" si="5"/>
        <v>2571</v>
      </c>
    </row>
    <row r="377" spans="1:16">
      <c r="A377" s="44">
        <v>2010</v>
      </c>
      <c r="B377" s="44" t="s">
        <v>111</v>
      </c>
      <c r="C377" s="44" t="s">
        <v>44</v>
      </c>
      <c r="D377" s="44" t="s">
        <v>273</v>
      </c>
      <c r="E377" s="44">
        <v>19451</v>
      </c>
      <c r="F377" s="44"/>
      <c r="G377" s="44"/>
      <c r="H377" s="44">
        <v>2139</v>
      </c>
      <c r="N377" s="42" t="s">
        <v>274</v>
      </c>
      <c r="O377" s="48">
        <v>0.11</v>
      </c>
      <c r="P377" s="42">
        <f t="shared" si="5"/>
        <v>2139</v>
      </c>
    </row>
    <row r="378" spans="1:16">
      <c r="A378" s="45">
        <v>2010</v>
      </c>
      <c r="B378" s="45" t="s">
        <v>111</v>
      </c>
      <c r="C378" s="45" t="s">
        <v>44</v>
      </c>
      <c r="D378" s="45" t="s">
        <v>274</v>
      </c>
      <c r="E378" s="45">
        <v>12826</v>
      </c>
      <c r="F378" s="45"/>
      <c r="G378" s="45"/>
      <c r="H378" s="45">
        <v>1410</v>
      </c>
      <c r="N378" s="42" t="s">
        <v>275</v>
      </c>
      <c r="O378" s="48">
        <v>0.11</v>
      </c>
      <c r="P378" s="42">
        <f t="shared" si="5"/>
        <v>1410</v>
      </c>
    </row>
    <row r="379" spans="1:16">
      <c r="A379" s="44">
        <v>2010</v>
      </c>
      <c r="B379" s="44" t="s">
        <v>111</v>
      </c>
      <c r="C379" s="44" t="s">
        <v>44</v>
      </c>
      <c r="D379" s="44" t="s">
        <v>275</v>
      </c>
      <c r="E379" s="44">
        <v>11575</v>
      </c>
      <c r="F379" s="44"/>
      <c r="G379" s="44"/>
      <c r="H379" s="44">
        <v>1273</v>
      </c>
      <c r="N379" s="42" t="s">
        <v>276</v>
      </c>
      <c r="O379" s="48">
        <v>0.11</v>
      </c>
      <c r="P379" s="42">
        <f t="shared" si="5"/>
        <v>1273</v>
      </c>
    </row>
    <row r="380" spans="1:16">
      <c r="A380" s="45">
        <v>2010</v>
      </c>
      <c r="B380" s="45" t="s">
        <v>111</v>
      </c>
      <c r="C380" s="45" t="s">
        <v>44</v>
      </c>
      <c r="D380" s="45" t="s">
        <v>276</v>
      </c>
      <c r="E380" s="45">
        <v>7992</v>
      </c>
      <c r="F380" s="45"/>
      <c r="G380" s="45"/>
      <c r="H380" s="45">
        <v>879</v>
      </c>
      <c r="N380" s="42" t="s">
        <v>277</v>
      </c>
      <c r="O380" s="48">
        <v>0.11</v>
      </c>
      <c r="P380" s="42">
        <f t="shared" si="5"/>
        <v>879</v>
      </c>
    </row>
    <row r="381" spans="1:16">
      <c r="A381" s="44">
        <v>2010</v>
      </c>
      <c r="B381" s="44" t="s">
        <v>111</v>
      </c>
      <c r="C381" s="44" t="s">
        <v>44</v>
      </c>
      <c r="D381" s="44" t="s">
        <v>277</v>
      </c>
      <c r="E381" s="44">
        <v>6759</v>
      </c>
      <c r="F381" s="44"/>
      <c r="G381" s="44"/>
      <c r="H381" s="44">
        <v>743</v>
      </c>
      <c r="N381" s="42" t="s">
        <v>278</v>
      </c>
      <c r="O381" s="48">
        <v>0.11</v>
      </c>
      <c r="P381" s="42">
        <f t="shared" si="5"/>
        <v>743</v>
      </c>
    </row>
    <row r="382" spans="1:16">
      <c r="A382" s="45">
        <v>2010</v>
      </c>
      <c r="B382" s="45" t="s">
        <v>111</v>
      </c>
      <c r="C382" s="45" t="s">
        <v>44</v>
      </c>
      <c r="D382" s="45" t="s">
        <v>278</v>
      </c>
      <c r="E382" s="45">
        <v>5165</v>
      </c>
      <c r="F382" s="45"/>
      <c r="G382" s="45"/>
      <c r="H382" s="45">
        <v>568</v>
      </c>
      <c r="N382" s="42" t="s">
        <v>279</v>
      </c>
      <c r="O382" s="48">
        <v>0.13</v>
      </c>
      <c r="P382" s="42">
        <f t="shared" si="5"/>
        <v>671</v>
      </c>
    </row>
    <row r="383" spans="1:16">
      <c r="A383" s="44">
        <v>2010</v>
      </c>
      <c r="B383" s="44" t="s">
        <v>111</v>
      </c>
      <c r="C383" s="44" t="s">
        <v>44</v>
      </c>
      <c r="D383" s="44" t="s">
        <v>279</v>
      </c>
      <c r="E383" s="44">
        <v>4912</v>
      </c>
      <c r="F383" s="44"/>
      <c r="G383" s="44"/>
      <c r="H383" s="44">
        <v>638</v>
      </c>
      <c r="N383" s="42" t="s">
        <v>280</v>
      </c>
      <c r="O383" s="48">
        <v>0.13</v>
      </c>
      <c r="P383" s="42">
        <f t="shared" si="5"/>
        <v>638</v>
      </c>
    </row>
    <row r="384" spans="1:16">
      <c r="A384" s="45">
        <v>2010</v>
      </c>
      <c r="B384" s="45" t="s">
        <v>111</v>
      </c>
      <c r="C384" s="45" t="s">
        <v>44</v>
      </c>
      <c r="D384" s="45" t="s">
        <v>280</v>
      </c>
      <c r="E384" s="45">
        <v>3628</v>
      </c>
      <c r="F384" s="45"/>
      <c r="G384" s="45"/>
      <c r="H384" s="45">
        <v>471</v>
      </c>
      <c r="N384" s="42" t="s">
        <v>281</v>
      </c>
      <c r="O384" s="48">
        <v>0.13</v>
      </c>
      <c r="P384" s="42">
        <f t="shared" si="5"/>
        <v>471</v>
      </c>
    </row>
    <row r="385" spans="1:16">
      <c r="A385" s="44">
        <v>2010</v>
      </c>
      <c r="B385" s="44" t="s">
        <v>111</v>
      </c>
      <c r="C385" s="44" t="s">
        <v>44</v>
      </c>
      <c r="D385" s="44" t="s">
        <v>281</v>
      </c>
      <c r="E385" s="44">
        <v>1199</v>
      </c>
      <c r="F385" s="44"/>
      <c r="G385" s="44"/>
      <c r="H385" s="44">
        <v>155</v>
      </c>
      <c r="N385" s="42" t="s">
        <v>282</v>
      </c>
      <c r="O385" s="48">
        <v>0.13</v>
      </c>
      <c r="P385" s="42">
        <f t="shared" si="5"/>
        <v>155</v>
      </c>
    </row>
    <row r="386" spans="1:16">
      <c r="A386" s="45">
        <v>2010</v>
      </c>
      <c r="B386" s="45" t="s">
        <v>111</v>
      </c>
      <c r="C386" s="45" t="s">
        <v>44</v>
      </c>
      <c r="D386" s="45" t="s">
        <v>282</v>
      </c>
      <c r="E386" s="45">
        <v>1583</v>
      </c>
      <c r="F386" s="45"/>
      <c r="G386" s="45"/>
      <c r="H386" s="45">
        <v>205</v>
      </c>
      <c r="N386" s="42" t="s">
        <v>283</v>
      </c>
      <c r="O386" s="48">
        <v>0.13</v>
      </c>
      <c r="P386" s="42">
        <f t="shared" si="5"/>
        <v>205</v>
      </c>
    </row>
    <row r="387" spans="1:16">
      <c r="A387" s="44">
        <v>2010</v>
      </c>
      <c r="B387" s="44" t="s">
        <v>111</v>
      </c>
      <c r="C387" s="44" t="s">
        <v>44</v>
      </c>
      <c r="D387" s="44" t="s">
        <v>283</v>
      </c>
      <c r="E387" s="44">
        <v>1116</v>
      </c>
      <c r="F387" s="44"/>
      <c r="G387" s="44"/>
      <c r="H387" s="44">
        <v>145</v>
      </c>
      <c r="N387" s="42" t="s">
        <v>284</v>
      </c>
      <c r="O387" s="48">
        <v>0.13</v>
      </c>
      <c r="P387" s="42">
        <f t="shared" si="5"/>
        <v>145</v>
      </c>
    </row>
    <row r="388" spans="1:16">
      <c r="A388" s="45">
        <v>2010</v>
      </c>
      <c r="B388" s="45" t="s">
        <v>111</v>
      </c>
      <c r="C388" s="45" t="s">
        <v>44</v>
      </c>
      <c r="D388" s="45" t="s">
        <v>284</v>
      </c>
      <c r="E388" s="45">
        <v>878</v>
      </c>
      <c r="F388" s="45"/>
      <c r="G388" s="45"/>
      <c r="H388" s="45">
        <v>114</v>
      </c>
      <c r="P388" s="42">
        <f t="shared" si="5"/>
        <v>0</v>
      </c>
    </row>
    <row r="389" spans="1:16">
      <c r="A389" s="45">
        <v>2015</v>
      </c>
      <c r="B389" s="45" t="s">
        <v>102</v>
      </c>
      <c r="C389" s="45" t="s">
        <v>43</v>
      </c>
      <c r="D389" s="45" t="s">
        <v>267</v>
      </c>
      <c r="E389" s="45">
        <v>141661</v>
      </c>
      <c r="F389" s="45"/>
      <c r="G389" s="45"/>
      <c r="H389" s="45">
        <v>24082</v>
      </c>
      <c r="N389" s="42" t="s">
        <v>267</v>
      </c>
      <c r="O389" s="48">
        <v>0.13</v>
      </c>
      <c r="P389" s="42">
        <f t="shared" si="5"/>
        <v>18415</v>
      </c>
    </row>
    <row r="390" spans="1:16">
      <c r="A390" s="44">
        <v>2015</v>
      </c>
      <c r="B390" s="44" t="s">
        <v>102</v>
      </c>
      <c r="C390" s="44" t="s">
        <v>43</v>
      </c>
      <c r="D390" s="44" t="s">
        <v>268</v>
      </c>
      <c r="E390" s="44">
        <v>118967</v>
      </c>
      <c r="F390" s="44"/>
      <c r="G390" s="44"/>
      <c r="H390" s="44">
        <v>16655</v>
      </c>
      <c r="N390" s="42" t="s">
        <v>268</v>
      </c>
      <c r="O390" s="48">
        <v>0.11</v>
      </c>
      <c r="P390" s="42">
        <f t="shared" si="5"/>
        <v>13086</v>
      </c>
    </row>
    <row r="391" spans="1:16">
      <c r="A391" s="45">
        <v>2015</v>
      </c>
      <c r="B391" s="45" t="s">
        <v>102</v>
      </c>
      <c r="C391" s="45" t="s">
        <v>43</v>
      </c>
      <c r="D391" s="45" t="s">
        <v>269</v>
      </c>
      <c r="E391" s="45">
        <v>95985</v>
      </c>
      <c r="F391" s="45"/>
      <c r="G391" s="45"/>
      <c r="H391" s="45">
        <v>13437</v>
      </c>
      <c r="N391" s="42" t="s">
        <v>269</v>
      </c>
      <c r="O391" s="48">
        <v>0.11</v>
      </c>
      <c r="P391" s="42">
        <f t="shared" si="5"/>
        <v>10558</v>
      </c>
    </row>
    <row r="392" spans="1:16">
      <c r="A392" s="44">
        <v>2015</v>
      </c>
      <c r="B392" s="44" t="s">
        <v>102</v>
      </c>
      <c r="C392" s="44" t="s">
        <v>43</v>
      </c>
      <c r="D392" s="44" t="s">
        <v>254</v>
      </c>
      <c r="E392" s="44">
        <v>88774</v>
      </c>
      <c r="F392" s="44"/>
      <c r="G392" s="44"/>
      <c r="H392" s="44">
        <v>12428</v>
      </c>
      <c r="N392" s="42" t="s">
        <v>254</v>
      </c>
      <c r="O392" s="48">
        <v>0.11</v>
      </c>
      <c r="P392" s="42">
        <f t="shared" si="5"/>
        <v>9765</v>
      </c>
    </row>
    <row r="393" spans="1:16">
      <c r="A393" s="45">
        <v>2015</v>
      </c>
      <c r="B393" s="45" t="s">
        <v>102</v>
      </c>
      <c r="C393" s="45" t="s">
        <v>43</v>
      </c>
      <c r="D393" s="45" t="s">
        <v>270</v>
      </c>
      <c r="E393" s="45">
        <v>73635</v>
      </c>
      <c r="F393" s="45"/>
      <c r="G393" s="45"/>
      <c r="H393" s="45">
        <v>10308</v>
      </c>
      <c r="N393" s="42" t="s">
        <v>270</v>
      </c>
      <c r="O393" s="48">
        <v>0.11</v>
      </c>
      <c r="P393" s="42">
        <f t="shared" si="5"/>
        <v>8099</v>
      </c>
    </row>
    <row r="394" spans="1:16">
      <c r="A394" s="44">
        <v>2015</v>
      </c>
      <c r="B394" s="44" t="s">
        <v>102</v>
      </c>
      <c r="C394" s="44" t="s">
        <v>43</v>
      </c>
      <c r="D394" s="44" t="s">
        <v>271</v>
      </c>
      <c r="E394" s="44">
        <v>54879</v>
      </c>
      <c r="F394" s="44"/>
      <c r="G394" s="44"/>
      <c r="H394" s="44">
        <v>7683</v>
      </c>
      <c r="N394" s="42" t="s">
        <v>271</v>
      </c>
      <c r="O394" s="48">
        <v>0.11</v>
      </c>
      <c r="P394" s="42">
        <f t="shared" ref="P394:P407" si="6">INT(E394*O394)</f>
        <v>6036</v>
      </c>
    </row>
    <row r="395" spans="1:16">
      <c r="A395" s="45">
        <v>2015</v>
      </c>
      <c r="B395" s="45" t="s">
        <v>102</v>
      </c>
      <c r="C395" s="45" t="s">
        <v>43</v>
      </c>
      <c r="D395" s="45" t="s">
        <v>272</v>
      </c>
      <c r="E395" s="45">
        <v>45640</v>
      </c>
      <c r="F395" s="45"/>
      <c r="G395" s="45"/>
      <c r="H395" s="45">
        <v>6389</v>
      </c>
      <c r="N395" s="42" t="s">
        <v>272</v>
      </c>
      <c r="O395" s="48">
        <v>0.11</v>
      </c>
      <c r="P395" s="42">
        <f t="shared" si="6"/>
        <v>5020</v>
      </c>
    </row>
    <row r="396" spans="1:16">
      <c r="A396" s="44">
        <v>2015</v>
      </c>
      <c r="B396" s="44" t="s">
        <v>102</v>
      </c>
      <c r="C396" s="44" t="s">
        <v>43</v>
      </c>
      <c r="D396" s="44" t="s">
        <v>273</v>
      </c>
      <c r="E396" s="44">
        <v>35352</v>
      </c>
      <c r="F396" s="44"/>
      <c r="G396" s="44"/>
      <c r="H396" s="44">
        <v>4949</v>
      </c>
      <c r="N396" s="42" t="s">
        <v>273</v>
      </c>
      <c r="O396" s="48">
        <v>0.11</v>
      </c>
      <c r="P396" s="42">
        <f t="shared" si="6"/>
        <v>3888</v>
      </c>
    </row>
    <row r="397" spans="1:16">
      <c r="A397" s="45">
        <v>2015</v>
      </c>
      <c r="B397" s="45" t="s">
        <v>102</v>
      </c>
      <c r="C397" s="45" t="s">
        <v>43</v>
      </c>
      <c r="D397" s="45" t="s">
        <v>274</v>
      </c>
      <c r="E397" s="45">
        <v>28228</v>
      </c>
      <c r="F397" s="45"/>
      <c r="G397" s="45"/>
      <c r="H397" s="45">
        <v>3951</v>
      </c>
      <c r="N397" s="42" t="s">
        <v>274</v>
      </c>
      <c r="O397" s="48">
        <v>0.11</v>
      </c>
      <c r="P397" s="42">
        <f t="shared" si="6"/>
        <v>3105</v>
      </c>
    </row>
    <row r="398" spans="1:16">
      <c r="A398" s="44">
        <v>2015</v>
      </c>
      <c r="B398" s="44" t="s">
        <v>102</v>
      </c>
      <c r="C398" s="44" t="s">
        <v>43</v>
      </c>
      <c r="D398" s="44" t="s">
        <v>275</v>
      </c>
      <c r="E398" s="44">
        <v>19523</v>
      </c>
      <c r="F398" s="44"/>
      <c r="G398" s="44"/>
      <c r="H398" s="44">
        <v>2733</v>
      </c>
      <c r="N398" s="42" t="s">
        <v>275</v>
      </c>
      <c r="O398" s="48">
        <v>0.11</v>
      </c>
      <c r="P398" s="42">
        <f t="shared" si="6"/>
        <v>2147</v>
      </c>
    </row>
    <row r="399" spans="1:16">
      <c r="A399" s="45">
        <v>2015</v>
      </c>
      <c r="B399" s="45" t="s">
        <v>102</v>
      </c>
      <c r="C399" s="45" t="s">
        <v>43</v>
      </c>
      <c r="D399" s="45" t="s">
        <v>276</v>
      </c>
      <c r="E399" s="45">
        <v>16729</v>
      </c>
      <c r="F399" s="45"/>
      <c r="G399" s="45"/>
      <c r="H399" s="45">
        <v>2342</v>
      </c>
      <c r="N399" s="42" t="s">
        <v>276</v>
      </c>
      <c r="O399" s="48">
        <v>0.11</v>
      </c>
      <c r="P399" s="42">
        <f t="shared" si="6"/>
        <v>1840</v>
      </c>
    </row>
    <row r="400" spans="1:16">
      <c r="A400" s="44">
        <v>2015</v>
      </c>
      <c r="B400" s="44" t="s">
        <v>102</v>
      </c>
      <c r="C400" s="44" t="s">
        <v>43</v>
      </c>
      <c r="D400" s="44" t="s">
        <v>277</v>
      </c>
      <c r="E400" s="44">
        <v>13379</v>
      </c>
      <c r="F400" s="44"/>
      <c r="G400" s="44"/>
      <c r="H400" s="44">
        <v>1873</v>
      </c>
      <c r="N400" s="42" t="s">
        <v>277</v>
      </c>
      <c r="O400" s="48">
        <v>0.11</v>
      </c>
      <c r="P400" s="42">
        <f t="shared" si="6"/>
        <v>1471</v>
      </c>
    </row>
    <row r="401" spans="1:19">
      <c r="A401" s="45">
        <v>2015</v>
      </c>
      <c r="B401" s="45" t="s">
        <v>102</v>
      </c>
      <c r="C401" s="45" t="s">
        <v>43</v>
      </c>
      <c r="D401" s="45" t="s">
        <v>278</v>
      </c>
      <c r="E401" s="45">
        <v>8707</v>
      </c>
      <c r="F401" s="45"/>
      <c r="G401" s="45"/>
      <c r="H401" s="45">
        <v>1218</v>
      </c>
      <c r="J401" s="42" t="s">
        <v>138</v>
      </c>
      <c r="N401" s="42" t="s">
        <v>278</v>
      </c>
      <c r="O401" s="48">
        <v>0.11</v>
      </c>
      <c r="P401" s="42">
        <f t="shared" si="6"/>
        <v>957</v>
      </c>
    </row>
    <row r="402" spans="1:19">
      <c r="A402" s="44">
        <v>2015</v>
      </c>
      <c r="B402" s="44" t="s">
        <v>102</v>
      </c>
      <c r="C402" s="44" t="s">
        <v>43</v>
      </c>
      <c r="D402" s="44" t="s">
        <v>279</v>
      </c>
      <c r="E402" s="44">
        <v>7982</v>
      </c>
      <c r="F402" s="44"/>
      <c r="G402" s="44"/>
      <c r="H402" s="44">
        <v>1117</v>
      </c>
      <c r="N402" s="42" t="s">
        <v>279</v>
      </c>
      <c r="O402" s="48">
        <v>0.13</v>
      </c>
      <c r="P402" s="42">
        <f t="shared" si="6"/>
        <v>1037</v>
      </c>
    </row>
    <row r="403" spans="1:19">
      <c r="A403" s="45">
        <v>2015</v>
      </c>
      <c r="B403" s="45" t="s">
        <v>102</v>
      </c>
      <c r="C403" s="45" t="s">
        <v>43</v>
      </c>
      <c r="D403" s="45" t="s">
        <v>280</v>
      </c>
      <c r="E403" s="45">
        <v>5370</v>
      </c>
      <c r="F403" s="45"/>
      <c r="G403" s="45"/>
      <c r="H403" s="45">
        <v>751</v>
      </c>
      <c r="N403" s="42" t="s">
        <v>280</v>
      </c>
      <c r="O403" s="48">
        <v>0.13</v>
      </c>
      <c r="P403" s="42">
        <f t="shared" si="6"/>
        <v>698</v>
      </c>
    </row>
    <row r="404" spans="1:19">
      <c r="A404" s="44">
        <v>2015</v>
      </c>
      <c r="B404" s="44" t="s">
        <v>102</v>
      </c>
      <c r="C404" s="44" t="s">
        <v>43</v>
      </c>
      <c r="D404" s="44" t="s">
        <v>281</v>
      </c>
      <c r="E404" s="44">
        <v>3756</v>
      </c>
      <c r="F404" s="44"/>
      <c r="G404" s="44"/>
      <c r="H404" s="44">
        <v>638</v>
      </c>
      <c r="N404" s="42" t="s">
        <v>281</v>
      </c>
      <c r="O404" s="48">
        <v>0.13</v>
      </c>
      <c r="P404" s="42">
        <f t="shared" si="6"/>
        <v>488</v>
      </c>
    </row>
    <row r="405" spans="1:19">
      <c r="A405" s="45">
        <v>2015</v>
      </c>
      <c r="B405" s="45" t="s">
        <v>102</v>
      </c>
      <c r="C405" s="45" t="s">
        <v>43</v>
      </c>
      <c r="D405" s="45" t="s">
        <v>285</v>
      </c>
      <c r="E405" s="45">
        <v>4396</v>
      </c>
      <c r="F405" s="45"/>
      <c r="G405" s="45"/>
      <c r="H405" s="45">
        <v>747</v>
      </c>
      <c r="N405" s="42" t="s">
        <v>282</v>
      </c>
      <c r="O405" s="48">
        <v>0.13</v>
      </c>
      <c r="P405" s="42">
        <f t="shared" si="6"/>
        <v>571</v>
      </c>
    </row>
    <row r="406" spans="1:19">
      <c r="A406" s="44">
        <v>2015</v>
      </c>
      <c r="B406" s="44" t="s">
        <v>103</v>
      </c>
      <c r="C406" s="44" t="s">
        <v>43</v>
      </c>
      <c r="D406" s="44" t="s">
        <v>267</v>
      </c>
      <c r="E406" s="44">
        <v>192384</v>
      </c>
      <c r="F406" s="44"/>
      <c r="G406" s="44"/>
      <c r="H406" s="44">
        <v>32705</v>
      </c>
      <c r="J406" s="42" t="s">
        <v>138</v>
      </c>
      <c r="N406" s="42" t="s">
        <v>283</v>
      </c>
      <c r="O406" s="48">
        <v>0.13</v>
      </c>
      <c r="P406" s="42">
        <f t="shared" si="6"/>
        <v>25009</v>
      </c>
    </row>
    <row r="407" spans="1:19">
      <c r="A407" s="45">
        <v>2015</v>
      </c>
      <c r="B407" s="45" t="s">
        <v>103</v>
      </c>
      <c r="C407" s="45" t="s">
        <v>43</v>
      </c>
      <c r="D407" s="45" t="s">
        <v>268</v>
      </c>
      <c r="E407" s="45">
        <v>169548</v>
      </c>
      <c r="F407" s="45"/>
      <c r="G407" s="45"/>
      <c r="H407" s="45">
        <v>23736</v>
      </c>
      <c r="N407" s="42" t="s">
        <v>284</v>
      </c>
      <c r="O407" s="48">
        <v>0.13</v>
      </c>
      <c r="P407" s="42">
        <f t="shared" si="6"/>
        <v>22041</v>
      </c>
    </row>
    <row r="408" spans="1:19">
      <c r="A408" s="44">
        <v>2015</v>
      </c>
      <c r="B408" s="44" t="s">
        <v>103</v>
      </c>
      <c r="C408" s="44" t="s">
        <v>43</v>
      </c>
      <c r="D408" s="44" t="s">
        <v>269</v>
      </c>
      <c r="E408" s="44">
        <v>156969</v>
      </c>
      <c r="F408" s="44"/>
      <c r="G408" s="44"/>
      <c r="H408" s="44">
        <v>21975</v>
      </c>
    </row>
    <row r="409" spans="1:19">
      <c r="A409" s="45">
        <v>2015</v>
      </c>
      <c r="B409" s="45" t="s">
        <v>103</v>
      </c>
      <c r="C409" s="45" t="s">
        <v>43</v>
      </c>
      <c r="D409" s="45" t="s">
        <v>254</v>
      </c>
      <c r="E409" s="45">
        <v>135388</v>
      </c>
      <c r="F409" s="45"/>
      <c r="G409" s="45"/>
      <c r="H409" s="45">
        <v>18954</v>
      </c>
    </row>
    <row r="410" spans="1:19">
      <c r="A410" s="44">
        <v>2015</v>
      </c>
      <c r="B410" s="44" t="s">
        <v>103</v>
      </c>
      <c r="C410" s="44" t="s">
        <v>43</v>
      </c>
      <c r="D410" s="44" t="s">
        <v>270</v>
      </c>
      <c r="E410" s="44">
        <v>126294</v>
      </c>
      <c r="F410" s="44"/>
      <c r="G410" s="44"/>
      <c r="H410" s="44">
        <v>17681</v>
      </c>
    </row>
    <row r="411" spans="1:19">
      <c r="A411" s="45">
        <v>2015</v>
      </c>
      <c r="B411" s="45" t="s">
        <v>103</v>
      </c>
      <c r="C411" s="45" t="s">
        <v>43</v>
      </c>
      <c r="D411" s="45" t="s">
        <v>271</v>
      </c>
      <c r="E411" s="45">
        <v>93170</v>
      </c>
      <c r="F411" s="45"/>
      <c r="G411" s="45"/>
      <c r="H411" s="45">
        <v>13043</v>
      </c>
    </row>
    <row r="412" spans="1:19">
      <c r="A412" s="44">
        <v>2015</v>
      </c>
      <c r="B412" s="44" t="s">
        <v>103</v>
      </c>
      <c r="C412" s="44" t="s">
        <v>43</v>
      </c>
      <c r="D412" s="44" t="s">
        <v>272</v>
      </c>
      <c r="E412" s="44">
        <v>79796</v>
      </c>
      <c r="F412" s="44"/>
      <c r="G412" s="44"/>
      <c r="H412" s="44">
        <v>11171</v>
      </c>
    </row>
    <row r="413" spans="1:19">
      <c r="A413" s="45">
        <v>2015</v>
      </c>
      <c r="B413" s="45" t="s">
        <v>103</v>
      </c>
      <c r="C413" s="45" t="s">
        <v>43</v>
      </c>
      <c r="D413" s="45" t="s">
        <v>273</v>
      </c>
      <c r="E413" s="45">
        <v>57949</v>
      </c>
      <c r="F413" s="45"/>
      <c r="G413" s="45"/>
      <c r="H413" s="45">
        <v>8112</v>
      </c>
      <c r="R413" s="42" t="s">
        <v>297</v>
      </c>
    </row>
    <row r="414" spans="1:19">
      <c r="A414" s="44">
        <v>2015</v>
      </c>
      <c r="B414" s="44" t="s">
        <v>103</v>
      </c>
      <c r="C414" s="44" t="s">
        <v>43</v>
      </c>
      <c r="D414" s="44" t="s">
        <v>274</v>
      </c>
      <c r="E414" s="44">
        <v>45635</v>
      </c>
      <c r="F414" s="44"/>
      <c r="G414" s="44"/>
      <c r="H414" s="44">
        <v>6388</v>
      </c>
      <c r="Q414" s="42">
        <v>2015</v>
      </c>
    </row>
    <row r="415" spans="1:19">
      <c r="A415" s="45">
        <v>2015</v>
      </c>
      <c r="B415" s="45" t="s">
        <v>103</v>
      </c>
      <c r="C415" s="45" t="s">
        <v>43</v>
      </c>
      <c r="D415" s="45" t="s">
        <v>275</v>
      </c>
      <c r="E415" s="45">
        <v>32010</v>
      </c>
      <c r="F415" s="45"/>
      <c r="G415" s="45"/>
      <c r="H415" s="45">
        <v>4481</v>
      </c>
      <c r="Q415" s="42">
        <f>INT(E415*R415)</f>
        <v>5441</v>
      </c>
      <c r="R415" s="48">
        <v>0.17</v>
      </c>
      <c r="S415" s="42" t="s">
        <v>267</v>
      </c>
    </row>
    <row r="416" spans="1:19">
      <c r="A416" s="44">
        <v>2015</v>
      </c>
      <c r="B416" s="44" t="s">
        <v>103</v>
      </c>
      <c r="C416" s="44" t="s">
        <v>43</v>
      </c>
      <c r="D416" s="44" t="s">
        <v>276</v>
      </c>
      <c r="E416" s="44">
        <v>28208</v>
      </c>
      <c r="F416" s="44"/>
      <c r="G416" s="44"/>
      <c r="H416" s="44">
        <v>3949</v>
      </c>
      <c r="Q416" s="42">
        <f t="shared" ref="Q416:Q431" si="7">INT(E416*R416)</f>
        <v>3949</v>
      </c>
      <c r="R416" s="48">
        <v>0.14000000000000001</v>
      </c>
      <c r="S416" s="42" t="s">
        <v>268</v>
      </c>
    </row>
    <row r="417" spans="1:19">
      <c r="A417" s="45">
        <v>2015</v>
      </c>
      <c r="B417" s="45" t="s">
        <v>103</v>
      </c>
      <c r="C417" s="45" t="s">
        <v>43</v>
      </c>
      <c r="D417" s="45" t="s">
        <v>277</v>
      </c>
      <c r="E417" s="45">
        <v>22892</v>
      </c>
      <c r="F417" s="45"/>
      <c r="G417" s="45"/>
      <c r="H417" s="45">
        <v>3204</v>
      </c>
      <c r="Q417" s="42">
        <f t="shared" si="7"/>
        <v>3204</v>
      </c>
      <c r="R417" s="48">
        <v>0.14000000000000001</v>
      </c>
      <c r="S417" s="42" t="s">
        <v>269</v>
      </c>
    </row>
    <row r="418" spans="1:19">
      <c r="A418" s="44">
        <v>2015</v>
      </c>
      <c r="B418" s="44" t="s">
        <v>103</v>
      </c>
      <c r="C418" s="44" t="s">
        <v>43</v>
      </c>
      <c r="D418" s="44" t="s">
        <v>278</v>
      </c>
      <c r="E418" s="44">
        <v>14858</v>
      </c>
      <c r="F418" s="44"/>
      <c r="G418" s="44"/>
      <c r="H418" s="44">
        <v>2080</v>
      </c>
      <c r="Q418" s="42">
        <f t="shared" si="7"/>
        <v>2080</v>
      </c>
      <c r="R418" s="48">
        <v>0.14000000000000001</v>
      </c>
      <c r="S418" s="42" t="s">
        <v>254</v>
      </c>
    </row>
    <row r="419" spans="1:19">
      <c r="A419" s="45">
        <v>2015</v>
      </c>
      <c r="B419" s="45" t="s">
        <v>103</v>
      </c>
      <c r="C419" s="45" t="s">
        <v>43</v>
      </c>
      <c r="D419" s="45" t="s">
        <v>279</v>
      </c>
      <c r="E419" s="45">
        <v>11176</v>
      </c>
      <c r="F419" s="45"/>
      <c r="G419" s="45"/>
      <c r="H419" s="45">
        <v>1564</v>
      </c>
      <c r="Q419" s="42">
        <f t="shared" si="7"/>
        <v>1564</v>
      </c>
      <c r="R419" s="48">
        <v>0.14000000000000001</v>
      </c>
      <c r="S419" s="42" t="s">
        <v>270</v>
      </c>
    </row>
    <row r="420" spans="1:19">
      <c r="A420" s="44">
        <v>2015</v>
      </c>
      <c r="B420" s="44" t="s">
        <v>103</v>
      </c>
      <c r="C420" s="44" t="s">
        <v>43</v>
      </c>
      <c r="D420" s="44" t="s">
        <v>280</v>
      </c>
      <c r="E420" s="44">
        <v>7182</v>
      </c>
      <c r="F420" s="44"/>
      <c r="G420" s="44"/>
      <c r="H420" s="44">
        <v>1005</v>
      </c>
      <c r="Q420" s="42">
        <f t="shared" si="7"/>
        <v>1005</v>
      </c>
      <c r="R420" s="48">
        <v>0.14000000000000001</v>
      </c>
      <c r="S420" s="42" t="s">
        <v>271</v>
      </c>
    </row>
    <row r="421" spans="1:19">
      <c r="A421" s="45">
        <v>2015</v>
      </c>
      <c r="B421" s="45" t="s">
        <v>103</v>
      </c>
      <c r="C421" s="45" t="s">
        <v>43</v>
      </c>
      <c r="D421" s="45" t="s">
        <v>281</v>
      </c>
      <c r="E421" s="45">
        <v>4594</v>
      </c>
      <c r="F421" s="45"/>
      <c r="G421" s="45"/>
      <c r="H421" s="45">
        <v>780</v>
      </c>
      <c r="Q421" s="42">
        <f t="shared" si="7"/>
        <v>643</v>
      </c>
      <c r="R421" s="48">
        <v>0.14000000000000001</v>
      </c>
      <c r="S421" s="42" t="s">
        <v>272</v>
      </c>
    </row>
    <row r="422" spans="1:19">
      <c r="A422" s="44">
        <v>2015</v>
      </c>
      <c r="B422" s="44" t="s">
        <v>103</v>
      </c>
      <c r="C422" s="44" t="s">
        <v>43</v>
      </c>
      <c r="D422" s="44" t="s">
        <v>285</v>
      </c>
      <c r="E422" s="44">
        <v>4414</v>
      </c>
      <c r="F422" s="44"/>
      <c r="G422" s="44"/>
      <c r="H422" s="44">
        <v>750</v>
      </c>
      <c r="Q422" s="42">
        <f t="shared" si="7"/>
        <v>617</v>
      </c>
      <c r="R422" s="48">
        <v>0.14000000000000001</v>
      </c>
      <c r="S422" s="42" t="s">
        <v>273</v>
      </c>
    </row>
    <row r="423" spans="1:19">
      <c r="A423" s="45">
        <v>2015</v>
      </c>
      <c r="B423" s="45" t="s">
        <v>104</v>
      </c>
      <c r="C423" s="45" t="s">
        <v>43</v>
      </c>
      <c r="D423" s="45" t="s">
        <v>267</v>
      </c>
      <c r="E423" s="45">
        <v>170078</v>
      </c>
      <c r="F423" s="45"/>
      <c r="G423" s="45"/>
      <c r="H423" s="45">
        <v>28913</v>
      </c>
      <c r="Q423" s="42">
        <f t="shared" si="7"/>
        <v>23810</v>
      </c>
      <c r="R423" s="48">
        <v>0.14000000000000001</v>
      </c>
      <c r="S423" s="42" t="s">
        <v>274</v>
      </c>
    </row>
    <row r="424" spans="1:19">
      <c r="A424" s="44">
        <v>2015</v>
      </c>
      <c r="B424" s="44" t="s">
        <v>104</v>
      </c>
      <c r="C424" s="44" t="s">
        <v>43</v>
      </c>
      <c r="D424" s="44" t="s">
        <v>268</v>
      </c>
      <c r="E424" s="44">
        <v>137774</v>
      </c>
      <c r="F424" s="44"/>
      <c r="G424" s="44"/>
      <c r="H424" s="44">
        <v>19288</v>
      </c>
      <c r="Q424" s="42">
        <f t="shared" si="7"/>
        <v>19288</v>
      </c>
      <c r="R424" s="48">
        <v>0.14000000000000001</v>
      </c>
      <c r="S424" s="42" t="s">
        <v>275</v>
      </c>
    </row>
    <row r="425" spans="1:19">
      <c r="A425" s="45">
        <v>2015</v>
      </c>
      <c r="B425" s="45" t="s">
        <v>104</v>
      </c>
      <c r="C425" s="45" t="s">
        <v>43</v>
      </c>
      <c r="D425" s="45" t="s">
        <v>269</v>
      </c>
      <c r="E425" s="45">
        <v>111183</v>
      </c>
      <c r="F425" s="45"/>
      <c r="G425" s="45"/>
      <c r="H425" s="45">
        <v>15565</v>
      </c>
      <c r="Q425" s="42">
        <f t="shared" si="7"/>
        <v>15565</v>
      </c>
      <c r="R425" s="48">
        <v>0.14000000000000001</v>
      </c>
      <c r="S425" s="42" t="s">
        <v>276</v>
      </c>
    </row>
    <row r="426" spans="1:19">
      <c r="A426" s="44">
        <v>2015</v>
      </c>
      <c r="B426" s="44" t="s">
        <v>104</v>
      </c>
      <c r="C426" s="44" t="s">
        <v>43</v>
      </c>
      <c r="D426" s="44" t="s">
        <v>254</v>
      </c>
      <c r="E426" s="44">
        <v>101795</v>
      </c>
      <c r="F426" s="44"/>
      <c r="G426" s="44"/>
      <c r="H426" s="44">
        <v>14251</v>
      </c>
      <c r="Q426" s="42">
        <f t="shared" si="7"/>
        <v>14251</v>
      </c>
      <c r="R426" s="48">
        <v>0.14000000000000001</v>
      </c>
      <c r="S426" s="42" t="s">
        <v>277</v>
      </c>
    </row>
    <row r="427" spans="1:19">
      <c r="A427" s="45">
        <v>2015</v>
      </c>
      <c r="B427" s="45" t="s">
        <v>104</v>
      </c>
      <c r="C427" s="45" t="s">
        <v>43</v>
      </c>
      <c r="D427" s="45" t="s">
        <v>270</v>
      </c>
      <c r="E427" s="45">
        <v>82724</v>
      </c>
      <c r="F427" s="45"/>
      <c r="G427" s="45"/>
      <c r="H427" s="45">
        <v>11581</v>
      </c>
      <c r="Q427" s="42">
        <f t="shared" si="7"/>
        <v>11581</v>
      </c>
      <c r="R427" s="48">
        <v>0.14000000000000001</v>
      </c>
      <c r="S427" s="42" t="s">
        <v>278</v>
      </c>
    </row>
    <row r="428" spans="1:19">
      <c r="A428" s="44">
        <v>2015</v>
      </c>
      <c r="B428" s="44" t="s">
        <v>104</v>
      </c>
      <c r="C428" s="44" t="s">
        <v>43</v>
      </c>
      <c r="D428" s="44" t="s">
        <v>271</v>
      </c>
      <c r="E428" s="44">
        <v>67862</v>
      </c>
      <c r="F428" s="44"/>
      <c r="G428" s="44"/>
      <c r="H428" s="44">
        <v>9500</v>
      </c>
      <c r="Q428" s="42">
        <f t="shared" si="7"/>
        <v>9500</v>
      </c>
      <c r="R428" s="48">
        <v>0.14000000000000001</v>
      </c>
      <c r="S428" s="42" t="s">
        <v>279</v>
      </c>
    </row>
    <row r="429" spans="1:19">
      <c r="A429" s="45">
        <v>2015</v>
      </c>
      <c r="B429" s="45" t="s">
        <v>104</v>
      </c>
      <c r="C429" s="45" t="s">
        <v>43</v>
      </c>
      <c r="D429" s="45" t="s">
        <v>272</v>
      </c>
      <c r="E429" s="45">
        <v>58171</v>
      </c>
      <c r="F429" s="45"/>
      <c r="G429" s="45"/>
      <c r="H429" s="45">
        <v>8143</v>
      </c>
      <c r="Q429" s="42">
        <f t="shared" si="7"/>
        <v>8143</v>
      </c>
      <c r="R429" s="48">
        <v>0.14000000000000001</v>
      </c>
      <c r="S429" s="42" t="s">
        <v>280</v>
      </c>
    </row>
    <row r="430" spans="1:19">
      <c r="A430" s="44">
        <v>2015</v>
      </c>
      <c r="B430" s="44" t="s">
        <v>104</v>
      </c>
      <c r="C430" s="44" t="s">
        <v>43</v>
      </c>
      <c r="D430" s="44" t="s">
        <v>273</v>
      </c>
      <c r="E430" s="44">
        <v>42213</v>
      </c>
      <c r="F430" s="44"/>
      <c r="G430" s="44"/>
      <c r="H430" s="44">
        <v>5909</v>
      </c>
      <c r="Q430" s="42">
        <f t="shared" si="7"/>
        <v>7176</v>
      </c>
      <c r="R430" s="48">
        <v>0.17</v>
      </c>
      <c r="S430" s="42" t="s">
        <v>281</v>
      </c>
    </row>
    <row r="431" spans="1:19">
      <c r="A431" s="45">
        <v>2015</v>
      </c>
      <c r="B431" s="45" t="s">
        <v>104</v>
      </c>
      <c r="C431" s="45" t="s">
        <v>43</v>
      </c>
      <c r="D431" s="45" t="s">
        <v>274</v>
      </c>
      <c r="E431" s="45">
        <v>35169</v>
      </c>
      <c r="F431" s="45"/>
      <c r="G431" s="45"/>
      <c r="H431" s="45">
        <v>4923</v>
      </c>
      <c r="Q431" s="42">
        <f t="shared" si="7"/>
        <v>5978</v>
      </c>
      <c r="R431" s="48">
        <v>0.17</v>
      </c>
      <c r="S431" s="42" t="s">
        <v>282</v>
      </c>
    </row>
    <row r="432" spans="1:19">
      <c r="A432" s="44">
        <v>2015</v>
      </c>
      <c r="B432" s="44" t="s">
        <v>104</v>
      </c>
      <c r="C432" s="44" t="s">
        <v>43</v>
      </c>
      <c r="D432" s="44" t="s">
        <v>275</v>
      </c>
      <c r="E432" s="44">
        <v>24485</v>
      </c>
      <c r="F432" s="44"/>
      <c r="G432" s="44"/>
      <c r="H432" s="44">
        <v>3427</v>
      </c>
    </row>
    <row r="433" spans="1:19">
      <c r="A433" s="45">
        <v>2015</v>
      </c>
      <c r="B433" s="45" t="s">
        <v>104</v>
      </c>
      <c r="C433" s="45" t="s">
        <v>43</v>
      </c>
      <c r="D433" s="45" t="s">
        <v>276</v>
      </c>
      <c r="E433" s="45">
        <v>21129</v>
      </c>
      <c r="F433" s="45"/>
      <c r="G433" s="45"/>
      <c r="H433" s="45">
        <v>2958</v>
      </c>
    </row>
    <row r="434" spans="1:19">
      <c r="A434" s="44">
        <v>2015</v>
      </c>
      <c r="B434" s="44" t="s">
        <v>104</v>
      </c>
      <c r="C434" s="44" t="s">
        <v>43</v>
      </c>
      <c r="D434" s="44" t="s">
        <v>277</v>
      </c>
      <c r="E434" s="44">
        <v>16321</v>
      </c>
      <c r="F434" s="44"/>
      <c r="G434" s="44"/>
      <c r="H434" s="44">
        <v>2284</v>
      </c>
      <c r="Q434" s="42">
        <f>INT(E434*R434)</f>
        <v>2774</v>
      </c>
      <c r="R434" s="48">
        <v>0.17</v>
      </c>
      <c r="S434" s="42" t="s">
        <v>267</v>
      </c>
    </row>
    <row r="435" spans="1:19">
      <c r="A435" s="45">
        <v>2015</v>
      </c>
      <c r="B435" s="45" t="s">
        <v>104</v>
      </c>
      <c r="C435" s="45" t="s">
        <v>43</v>
      </c>
      <c r="D435" s="45" t="s">
        <v>278</v>
      </c>
      <c r="E435" s="45">
        <v>11303</v>
      </c>
      <c r="F435" s="45"/>
      <c r="G435" s="45"/>
      <c r="H435" s="45">
        <v>1582</v>
      </c>
      <c r="Q435" s="42">
        <f t="shared" ref="Q435:Q498" si="8">INT(E435*R435)</f>
        <v>1582</v>
      </c>
      <c r="R435" s="48">
        <v>0.14000000000000001</v>
      </c>
      <c r="S435" s="42" t="s">
        <v>268</v>
      </c>
    </row>
    <row r="436" spans="1:19">
      <c r="A436" s="44">
        <v>2015</v>
      </c>
      <c r="B436" s="44" t="s">
        <v>104</v>
      </c>
      <c r="C436" s="44" t="s">
        <v>43</v>
      </c>
      <c r="D436" s="44" t="s">
        <v>279</v>
      </c>
      <c r="E436" s="44">
        <v>11986</v>
      </c>
      <c r="F436" s="44"/>
      <c r="G436" s="44"/>
      <c r="H436" s="44">
        <v>1678</v>
      </c>
      <c r="Q436" s="42">
        <f t="shared" si="8"/>
        <v>1678</v>
      </c>
      <c r="R436" s="48">
        <v>0.14000000000000001</v>
      </c>
      <c r="S436" s="42" t="s">
        <v>269</v>
      </c>
    </row>
    <row r="437" spans="1:19">
      <c r="A437" s="45">
        <v>2015</v>
      </c>
      <c r="B437" s="45" t="s">
        <v>104</v>
      </c>
      <c r="C437" s="45" t="s">
        <v>43</v>
      </c>
      <c r="D437" s="45" t="s">
        <v>280</v>
      </c>
      <c r="E437" s="45">
        <v>8741</v>
      </c>
      <c r="F437" s="45"/>
      <c r="G437" s="45"/>
      <c r="H437" s="45">
        <v>1223</v>
      </c>
      <c r="Q437" s="42">
        <f t="shared" si="8"/>
        <v>1223</v>
      </c>
      <c r="R437" s="48">
        <v>0.14000000000000001</v>
      </c>
      <c r="S437" s="42" t="s">
        <v>254</v>
      </c>
    </row>
    <row r="438" spans="1:19">
      <c r="A438" s="44">
        <v>2015</v>
      </c>
      <c r="B438" s="44" t="s">
        <v>104</v>
      </c>
      <c r="C438" s="44" t="s">
        <v>43</v>
      </c>
      <c r="D438" s="44" t="s">
        <v>281</v>
      </c>
      <c r="E438" s="44">
        <v>6689</v>
      </c>
      <c r="F438" s="44"/>
      <c r="G438" s="44"/>
      <c r="H438" s="44">
        <v>1137</v>
      </c>
      <c r="Q438" s="42">
        <f t="shared" si="8"/>
        <v>936</v>
      </c>
      <c r="R438" s="48">
        <v>0.14000000000000001</v>
      </c>
      <c r="S438" s="42" t="s">
        <v>270</v>
      </c>
    </row>
    <row r="439" spans="1:19">
      <c r="A439" s="45">
        <v>2015</v>
      </c>
      <c r="B439" s="45" t="s">
        <v>104</v>
      </c>
      <c r="C439" s="45" t="s">
        <v>43</v>
      </c>
      <c r="D439" s="45" t="s">
        <v>285</v>
      </c>
      <c r="E439" s="45">
        <v>7981</v>
      </c>
      <c r="F439" s="45"/>
      <c r="G439" s="45"/>
      <c r="H439" s="45">
        <v>1356</v>
      </c>
      <c r="Q439" s="42">
        <f t="shared" si="8"/>
        <v>1117</v>
      </c>
      <c r="R439" s="48">
        <v>0.14000000000000001</v>
      </c>
      <c r="S439" s="42" t="s">
        <v>271</v>
      </c>
    </row>
    <row r="440" spans="1:19">
      <c r="A440" s="44">
        <v>2015</v>
      </c>
      <c r="B440" s="44" t="s">
        <v>105</v>
      </c>
      <c r="C440" s="44" t="s">
        <v>43</v>
      </c>
      <c r="D440" s="44" t="s">
        <v>267</v>
      </c>
      <c r="E440" s="44">
        <v>112332</v>
      </c>
      <c r="F440" s="44"/>
      <c r="G440" s="44"/>
      <c r="H440" s="44">
        <v>19096</v>
      </c>
      <c r="Q440" s="42">
        <f t="shared" si="8"/>
        <v>15726</v>
      </c>
      <c r="R440" s="48">
        <v>0.14000000000000001</v>
      </c>
      <c r="S440" s="42" t="s">
        <v>272</v>
      </c>
    </row>
    <row r="441" spans="1:19">
      <c r="A441" s="45">
        <v>2015</v>
      </c>
      <c r="B441" s="45" t="s">
        <v>105</v>
      </c>
      <c r="C441" s="45" t="s">
        <v>43</v>
      </c>
      <c r="D441" s="45" t="s">
        <v>268</v>
      </c>
      <c r="E441" s="45">
        <v>90976</v>
      </c>
      <c r="F441" s="45"/>
      <c r="G441" s="45"/>
      <c r="H441" s="45">
        <v>12736</v>
      </c>
      <c r="Q441" s="42">
        <f t="shared" si="8"/>
        <v>12736</v>
      </c>
      <c r="R441" s="48">
        <v>0.14000000000000001</v>
      </c>
      <c r="S441" s="42" t="s">
        <v>273</v>
      </c>
    </row>
    <row r="442" spans="1:19">
      <c r="A442" s="44">
        <v>2015</v>
      </c>
      <c r="B442" s="44" t="s">
        <v>105</v>
      </c>
      <c r="C442" s="44" t="s">
        <v>43</v>
      </c>
      <c r="D442" s="44" t="s">
        <v>269</v>
      </c>
      <c r="E442" s="44">
        <v>68643</v>
      </c>
      <c r="F442" s="44"/>
      <c r="G442" s="44"/>
      <c r="H442" s="44">
        <v>9610</v>
      </c>
      <c r="Q442" s="42">
        <f t="shared" si="8"/>
        <v>9610</v>
      </c>
      <c r="R442" s="48">
        <v>0.14000000000000001</v>
      </c>
      <c r="S442" s="42" t="s">
        <v>274</v>
      </c>
    </row>
    <row r="443" spans="1:19">
      <c r="A443" s="45">
        <v>2015</v>
      </c>
      <c r="B443" s="45" t="s">
        <v>105</v>
      </c>
      <c r="C443" s="45" t="s">
        <v>43</v>
      </c>
      <c r="D443" s="45" t="s">
        <v>254</v>
      </c>
      <c r="E443" s="45">
        <v>62539</v>
      </c>
      <c r="F443" s="45"/>
      <c r="G443" s="45"/>
      <c r="H443" s="45">
        <v>8755</v>
      </c>
      <c r="Q443" s="42">
        <f t="shared" si="8"/>
        <v>8755</v>
      </c>
      <c r="R443" s="48">
        <v>0.14000000000000001</v>
      </c>
      <c r="S443" s="42" t="s">
        <v>275</v>
      </c>
    </row>
    <row r="444" spans="1:19">
      <c r="A444" s="44">
        <v>2015</v>
      </c>
      <c r="B444" s="44" t="s">
        <v>105</v>
      </c>
      <c r="C444" s="44" t="s">
        <v>43</v>
      </c>
      <c r="D444" s="44" t="s">
        <v>270</v>
      </c>
      <c r="E444" s="44">
        <v>50052</v>
      </c>
      <c r="F444" s="44"/>
      <c r="G444" s="44"/>
      <c r="H444" s="44">
        <v>7007</v>
      </c>
      <c r="Q444" s="42">
        <f t="shared" si="8"/>
        <v>7007</v>
      </c>
      <c r="R444" s="48">
        <v>0.14000000000000001</v>
      </c>
      <c r="S444" s="42" t="s">
        <v>276</v>
      </c>
    </row>
    <row r="445" spans="1:19">
      <c r="A445" s="45">
        <v>2015</v>
      </c>
      <c r="B445" s="45" t="s">
        <v>105</v>
      </c>
      <c r="C445" s="45" t="s">
        <v>43</v>
      </c>
      <c r="D445" s="45" t="s">
        <v>271</v>
      </c>
      <c r="E445" s="45">
        <v>39209</v>
      </c>
      <c r="F445" s="45"/>
      <c r="G445" s="45"/>
      <c r="H445" s="45">
        <v>5489</v>
      </c>
      <c r="Q445" s="42">
        <f t="shared" si="8"/>
        <v>5489</v>
      </c>
      <c r="R445" s="48">
        <v>0.14000000000000001</v>
      </c>
      <c r="S445" s="42" t="s">
        <v>277</v>
      </c>
    </row>
    <row r="446" spans="1:19">
      <c r="A446" s="44">
        <v>2015</v>
      </c>
      <c r="B446" s="44" t="s">
        <v>105</v>
      </c>
      <c r="C446" s="44" t="s">
        <v>43</v>
      </c>
      <c r="D446" s="44" t="s">
        <v>272</v>
      </c>
      <c r="E446" s="44">
        <v>35637</v>
      </c>
      <c r="F446" s="44"/>
      <c r="G446" s="44"/>
      <c r="H446" s="44">
        <v>4989</v>
      </c>
      <c r="Q446" s="42">
        <f t="shared" si="8"/>
        <v>4989</v>
      </c>
      <c r="R446" s="48">
        <v>0.14000000000000001</v>
      </c>
      <c r="S446" s="42" t="s">
        <v>278</v>
      </c>
    </row>
    <row r="447" spans="1:19">
      <c r="A447" s="45">
        <v>2015</v>
      </c>
      <c r="B447" s="45" t="s">
        <v>105</v>
      </c>
      <c r="C447" s="45" t="s">
        <v>43</v>
      </c>
      <c r="D447" s="45" t="s">
        <v>273</v>
      </c>
      <c r="E447" s="45">
        <v>27101</v>
      </c>
      <c r="F447" s="45"/>
      <c r="G447" s="45"/>
      <c r="H447" s="45">
        <v>3794</v>
      </c>
      <c r="Q447" s="42">
        <f t="shared" si="8"/>
        <v>3794</v>
      </c>
      <c r="R447" s="48">
        <v>0.14000000000000001</v>
      </c>
      <c r="S447" s="42" t="s">
        <v>279</v>
      </c>
    </row>
    <row r="448" spans="1:19">
      <c r="A448" s="44">
        <v>2015</v>
      </c>
      <c r="B448" s="44" t="s">
        <v>105</v>
      </c>
      <c r="C448" s="44" t="s">
        <v>43</v>
      </c>
      <c r="D448" s="44" t="s">
        <v>274</v>
      </c>
      <c r="E448" s="44">
        <v>22484</v>
      </c>
      <c r="F448" s="44"/>
      <c r="G448" s="44"/>
      <c r="H448" s="44">
        <v>3147</v>
      </c>
      <c r="Q448" s="42">
        <f t="shared" si="8"/>
        <v>3147</v>
      </c>
      <c r="R448" s="48">
        <v>0.14000000000000001</v>
      </c>
      <c r="S448" s="42" t="s">
        <v>280</v>
      </c>
    </row>
    <row r="449" spans="1:19">
      <c r="A449" s="45">
        <v>2015</v>
      </c>
      <c r="B449" s="45" t="s">
        <v>105</v>
      </c>
      <c r="C449" s="45" t="s">
        <v>43</v>
      </c>
      <c r="D449" s="45" t="s">
        <v>275</v>
      </c>
      <c r="E449" s="45">
        <v>16284</v>
      </c>
      <c r="F449" s="45"/>
      <c r="G449" s="45"/>
      <c r="H449" s="45">
        <v>2279</v>
      </c>
      <c r="Q449" s="42">
        <f t="shared" si="8"/>
        <v>2768</v>
      </c>
      <c r="R449" s="48">
        <v>0.17</v>
      </c>
      <c r="S449" s="42" t="s">
        <v>281</v>
      </c>
    </row>
    <row r="450" spans="1:19">
      <c r="A450" s="44">
        <v>2015</v>
      </c>
      <c r="B450" s="44" t="s">
        <v>105</v>
      </c>
      <c r="C450" s="44" t="s">
        <v>43</v>
      </c>
      <c r="D450" s="44" t="s">
        <v>276</v>
      </c>
      <c r="E450" s="44">
        <v>13613</v>
      </c>
      <c r="F450" s="44"/>
      <c r="G450" s="44"/>
      <c r="H450" s="44">
        <v>1905</v>
      </c>
      <c r="Q450" s="42">
        <f t="shared" si="8"/>
        <v>2314</v>
      </c>
      <c r="R450" s="48">
        <v>0.17</v>
      </c>
      <c r="S450" s="42" t="s">
        <v>282</v>
      </c>
    </row>
    <row r="451" spans="1:19">
      <c r="A451" s="45">
        <v>2015</v>
      </c>
      <c r="B451" s="45" t="s">
        <v>105</v>
      </c>
      <c r="C451" s="45" t="s">
        <v>43</v>
      </c>
      <c r="D451" s="45" t="s">
        <v>277</v>
      </c>
      <c r="E451" s="45">
        <v>10838</v>
      </c>
      <c r="F451" s="45"/>
      <c r="G451" s="45"/>
      <c r="H451" s="45">
        <v>1517</v>
      </c>
    </row>
    <row r="452" spans="1:19">
      <c r="A452" s="44">
        <v>2015</v>
      </c>
      <c r="B452" s="44" t="s">
        <v>105</v>
      </c>
      <c r="C452" s="44" t="s">
        <v>43</v>
      </c>
      <c r="D452" s="44" t="s">
        <v>278</v>
      </c>
      <c r="E452" s="44">
        <v>7366</v>
      </c>
      <c r="F452" s="44"/>
      <c r="G452" s="44"/>
      <c r="H452" s="44">
        <v>1031</v>
      </c>
    </row>
    <row r="453" spans="1:19">
      <c r="A453" s="45">
        <v>2015</v>
      </c>
      <c r="B453" s="45" t="s">
        <v>105</v>
      </c>
      <c r="C453" s="45" t="s">
        <v>43</v>
      </c>
      <c r="D453" s="45" t="s">
        <v>279</v>
      </c>
      <c r="E453" s="45">
        <v>6657</v>
      </c>
      <c r="F453" s="45"/>
      <c r="G453" s="45"/>
      <c r="H453" s="45">
        <v>931</v>
      </c>
      <c r="Q453" s="42">
        <f t="shared" si="8"/>
        <v>1131</v>
      </c>
      <c r="R453" s="48">
        <v>0.17</v>
      </c>
      <c r="S453" s="42" t="s">
        <v>267</v>
      </c>
    </row>
    <row r="454" spans="1:19">
      <c r="A454" s="44">
        <v>2015</v>
      </c>
      <c r="B454" s="44" t="s">
        <v>105</v>
      </c>
      <c r="C454" s="44" t="s">
        <v>43</v>
      </c>
      <c r="D454" s="44" t="s">
        <v>280</v>
      </c>
      <c r="E454" s="44">
        <v>4304</v>
      </c>
      <c r="F454" s="44"/>
      <c r="G454" s="44"/>
      <c r="H454" s="44">
        <v>602</v>
      </c>
      <c r="Q454" s="42">
        <f t="shared" si="8"/>
        <v>602</v>
      </c>
      <c r="R454" s="48">
        <v>0.14000000000000001</v>
      </c>
      <c r="S454" s="42" t="s">
        <v>268</v>
      </c>
    </row>
    <row r="455" spans="1:19">
      <c r="A455" s="45">
        <v>2015</v>
      </c>
      <c r="B455" s="45" t="s">
        <v>105</v>
      </c>
      <c r="C455" s="45" t="s">
        <v>43</v>
      </c>
      <c r="D455" s="45" t="s">
        <v>281</v>
      </c>
      <c r="E455" s="45">
        <v>2700</v>
      </c>
      <c r="F455" s="45"/>
      <c r="G455" s="45"/>
      <c r="H455" s="45">
        <v>459</v>
      </c>
      <c r="Q455" s="42">
        <f t="shared" si="8"/>
        <v>378</v>
      </c>
      <c r="R455" s="48">
        <v>0.14000000000000001</v>
      </c>
      <c r="S455" s="42" t="s">
        <v>269</v>
      </c>
    </row>
    <row r="456" spans="1:19">
      <c r="A456" s="44">
        <v>2015</v>
      </c>
      <c r="B456" s="44" t="s">
        <v>105</v>
      </c>
      <c r="C456" s="44" t="s">
        <v>43</v>
      </c>
      <c r="D456" s="44" t="s">
        <v>285</v>
      </c>
      <c r="E456" s="44">
        <v>2528</v>
      </c>
      <c r="F456" s="44"/>
      <c r="G456" s="44"/>
      <c r="H456" s="44">
        <v>429</v>
      </c>
      <c r="Q456" s="42">
        <f t="shared" si="8"/>
        <v>353</v>
      </c>
      <c r="R456" s="48">
        <v>0.14000000000000001</v>
      </c>
      <c r="S456" s="42" t="s">
        <v>254</v>
      </c>
    </row>
    <row r="457" spans="1:19">
      <c r="A457" s="45">
        <v>2015</v>
      </c>
      <c r="B457" s="45" t="s">
        <v>106</v>
      </c>
      <c r="C457" s="45" t="s">
        <v>43</v>
      </c>
      <c r="D457" s="45" t="s">
        <v>267</v>
      </c>
      <c r="E457" s="45">
        <v>228540</v>
      </c>
      <c r="F457" s="45"/>
      <c r="G457" s="45"/>
      <c r="H457" s="45">
        <v>38851</v>
      </c>
      <c r="Q457" s="42">
        <f t="shared" si="8"/>
        <v>31995</v>
      </c>
      <c r="R457" s="48">
        <v>0.14000000000000001</v>
      </c>
      <c r="S457" s="42" t="s">
        <v>270</v>
      </c>
    </row>
    <row r="458" spans="1:19">
      <c r="A458" s="44">
        <v>2015</v>
      </c>
      <c r="B458" s="44" t="s">
        <v>106</v>
      </c>
      <c r="C458" s="44" t="s">
        <v>43</v>
      </c>
      <c r="D458" s="44" t="s">
        <v>268</v>
      </c>
      <c r="E458" s="44">
        <v>184604</v>
      </c>
      <c r="F458" s="44"/>
      <c r="G458" s="44"/>
      <c r="H458" s="44">
        <v>25844</v>
      </c>
      <c r="Q458" s="42">
        <f t="shared" si="8"/>
        <v>25844</v>
      </c>
      <c r="R458" s="48">
        <v>0.14000000000000001</v>
      </c>
      <c r="S458" s="42" t="s">
        <v>271</v>
      </c>
    </row>
    <row r="459" spans="1:19">
      <c r="A459" s="45">
        <v>2015</v>
      </c>
      <c r="B459" s="45" t="s">
        <v>106</v>
      </c>
      <c r="C459" s="45" t="s">
        <v>43</v>
      </c>
      <c r="D459" s="45" t="s">
        <v>269</v>
      </c>
      <c r="E459" s="45">
        <v>160144</v>
      </c>
      <c r="F459" s="45"/>
      <c r="G459" s="45"/>
      <c r="H459" s="45">
        <v>22420</v>
      </c>
      <c r="Q459" s="42">
        <f t="shared" si="8"/>
        <v>22420</v>
      </c>
      <c r="R459" s="48">
        <v>0.14000000000000001</v>
      </c>
      <c r="S459" s="42" t="s">
        <v>272</v>
      </c>
    </row>
    <row r="460" spans="1:19">
      <c r="A460" s="44">
        <v>2015</v>
      </c>
      <c r="B460" s="44" t="s">
        <v>106</v>
      </c>
      <c r="C460" s="44" t="s">
        <v>43</v>
      </c>
      <c r="D460" s="44" t="s">
        <v>254</v>
      </c>
      <c r="E460" s="44">
        <v>156329</v>
      </c>
      <c r="F460" s="44"/>
      <c r="G460" s="44"/>
      <c r="H460" s="44">
        <v>21886</v>
      </c>
      <c r="Q460" s="42">
        <f t="shared" si="8"/>
        <v>21886</v>
      </c>
      <c r="R460" s="48">
        <v>0.14000000000000001</v>
      </c>
      <c r="S460" s="42" t="s">
        <v>273</v>
      </c>
    </row>
    <row r="461" spans="1:19">
      <c r="A461" s="45">
        <v>2015</v>
      </c>
      <c r="B461" s="45" t="s">
        <v>106</v>
      </c>
      <c r="C461" s="45" t="s">
        <v>43</v>
      </c>
      <c r="D461" s="45" t="s">
        <v>270</v>
      </c>
      <c r="E461" s="45">
        <v>149405</v>
      </c>
      <c r="F461" s="45"/>
      <c r="G461" s="45"/>
      <c r="H461" s="45">
        <v>20916</v>
      </c>
      <c r="Q461" s="42">
        <f t="shared" si="8"/>
        <v>20916</v>
      </c>
      <c r="R461" s="48">
        <v>0.14000000000000001</v>
      </c>
      <c r="S461" s="42" t="s">
        <v>274</v>
      </c>
    </row>
    <row r="462" spans="1:19">
      <c r="A462" s="44">
        <v>2015</v>
      </c>
      <c r="B462" s="44" t="s">
        <v>106</v>
      </c>
      <c r="C462" s="44" t="s">
        <v>43</v>
      </c>
      <c r="D462" s="44" t="s">
        <v>271</v>
      </c>
      <c r="E462" s="44">
        <v>139115</v>
      </c>
      <c r="F462" s="44"/>
      <c r="G462" s="44"/>
      <c r="H462" s="44">
        <v>19476</v>
      </c>
      <c r="Q462" s="42">
        <f t="shared" si="8"/>
        <v>19476</v>
      </c>
      <c r="R462" s="48">
        <v>0.14000000000000001</v>
      </c>
      <c r="S462" s="42" t="s">
        <v>275</v>
      </c>
    </row>
    <row r="463" spans="1:19">
      <c r="A463" s="45">
        <v>2015</v>
      </c>
      <c r="B463" s="45" t="s">
        <v>106</v>
      </c>
      <c r="C463" s="45" t="s">
        <v>43</v>
      </c>
      <c r="D463" s="45" t="s">
        <v>272</v>
      </c>
      <c r="E463" s="45">
        <v>119793</v>
      </c>
      <c r="F463" s="45"/>
      <c r="G463" s="45"/>
      <c r="H463" s="45">
        <v>16771</v>
      </c>
      <c r="Q463" s="42">
        <f t="shared" si="8"/>
        <v>16771</v>
      </c>
      <c r="R463" s="48">
        <v>0.14000000000000001</v>
      </c>
      <c r="S463" s="42" t="s">
        <v>276</v>
      </c>
    </row>
    <row r="464" spans="1:19">
      <c r="A464" s="44">
        <v>2015</v>
      </c>
      <c r="B464" s="44" t="s">
        <v>106</v>
      </c>
      <c r="C464" s="44" t="s">
        <v>43</v>
      </c>
      <c r="D464" s="44" t="s">
        <v>273</v>
      </c>
      <c r="E464" s="44">
        <v>85569</v>
      </c>
      <c r="F464" s="44"/>
      <c r="G464" s="44"/>
      <c r="H464" s="44">
        <v>11979</v>
      </c>
      <c r="Q464" s="42">
        <f t="shared" si="8"/>
        <v>11979</v>
      </c>
      <c r="R464" s="48">
        <v>0.14000000000000001</v>
      </c>
      <c r="S464" s="42" t="s">
        <v>277</v>
      </c>
    </row>
    <row r="465" spans="1:19">
      <c r="A465" s="45">
        <v>2015</v>
      </c>
      <c r="B465" s="45" t="s">
        <v>106</v>
      </c>
      <c r="C465" s="45" t="s">
        <v>43</v>
      </c>
      <c r="D465" s="45" t="s">
        <v>274</v>
      </c>
      <c r="E465" s="45">
        <v>59067</v>
      </c>
      <c r="F465" s="45"/>
      <c r="G465" s="45"/>
      <c r="H465" s="45">
        <v>8269</v>
      </c>
      <c r="Q465" s="42">
        <f t="shared" si="8"/>
        <v>8269</v>
      </c>
      <c r="R465" s="48">
        <v>0.14000000000000001</v>
      </c>
      <c r="S465" s="42" t="s">
        <v>278</v>
      </c>
    </row>
    <row r="466" spans="1:19">
      <c r="A466" s="44">
        <v>2015</v>
      </c>
      <c r="B466" s="44" t="s">
        <v>106</v>
      </c>
      <c r="C466" s="44" t="s">
        <v>43</v>
      </c>
      <c r="D466" s="44" t="s">
        <v>275</v>
      </c>
      <c r="E466" s="44">
        <v>35212</v>
      </c>
      <c r="F466" s="44"/>
      <c r="G466" s="44"/>
      <c r="H466" s="44">
        <v>4929</v>
      </c>
      <c r="Q466" s="42">
        <f t="shared" si="8"/>
        <v>4929</v>
      </c>
      <c r="R466" s="48">
        <v>0.14000000000000001</v>
      </c>
      <c r="S466" s="42" t="s">
        <v>279</v>
      </c>
    </row>
    <row r="467" spans="1:19">
      <c r="A467" s="45">
        <v>2015</v>
      </c>
      <c r="B467" s="45" t="s">
        <v>106</v>
      </c>
      <c r="C467" s="45" t="s">
        <v>43</v>
      </c>
      <c r="D467" s="45" t="s">
        <v>276</v>
      </c>
      <c r="E467" s="45">
        <v>26980</v>
      </c>
      <c r="F467" s="45"/>
      <c r="G467" s="45"/>
      <c r="H467" s="45">
        <v>3777</v>
      </c>
      <c r="Q467" s="42">
        <f t="shared" si="8"/>
        <v>3777</v>
      </c>
      <c r="R467" s="48">
        <v>0.14000000000000001</v>
      </c>
      <c r="S467" s="42" t="s">
        <v>280</v>
      </c>
    </row>
    <row r="468" spans="1:19">
      <c r="A468" s="44">
        <v>2015</v>
      </c>
      <c r="B468" s="44" t="s">
        <v>106</v>
      </c>
      <c r="C468" s="44" t="s">
        <v>43</v>
      </c>
      <c r="D468" s="44" t="s">
        <v>277</v>
      </c>
      <c r="E468" s="44">
        <v>19876</v>
      </c>
      <c r="F468" s="44"/>
      <c r="G468" s="44"/>
      <c r="H468" s="44">
        <v>2782</v>
      </c>
      <c r="Q468" s="42">
        <f t="shared" si="8"/>
        <v>3378</v>
      </c>
      <c r="R468" s="48">
        <v>0.17</v>
      </c>
      <c r="S468" s="42" t="s">
        <v>281</v>
      </c>
    </row>
    <row r="469" spans="1:19">
      <c r="A469" s="45">
        <v>2015</v>
      </c>
      <c r="B469" s="45" t="s">
        <v>106</v>
      </c>
      <c r="C469" s="45" t="s">
        <v>43</v>
      </c>
      <c r="D469" s="45" t="s">
        <v>278</v>
      </c>
      <c r="E469" s="45">
        <v>12508</v>
      </c>
      <c r="F469" s="45"/>
      <c r="G469" s="45"/>
      <c r="H469" s="45">
        <v>1751</v>
      </c>
      <c r="Q469" s="42">
        <f t="shared" si="8"/>
        <v>2126</v>
      </c>
      <c r="R469" s="48">
        <v>0.17</v>
      </c>
      <c r="S469" s="42" t="s">
        <v>282</v>
      </c>
    </row>
    <row r="470" spans="1:19">
      <c r="A470" s="44">
        <v>2015</v>
      </c>
      <c r="B470" s="44" t="s">
        <v>106</v>
      </c>
      <c r="C470" s="44" t="s">
        <v>43</v>
      </c>
      <c r="D470" s="44" t="s">
        <v>279</v>
      </c>
      <c r="E470" s="44">
        <v>9138</v>
      </c>
      <c r="F470" s="44"/>
      <c r="G470" s="44"/>
      <c r="H470" s="44">
        <v>1279</v>
      </c>
    </row>
    <row r="471" spans="1:19">
      <c r="A471" s="45">
        <v>2015</v>
      </c>
      <c r="B471" s="45" t="s">
        <v>106</v>
      </c>
      <c r="C471" s="45" t="s">
        <v>43</v>
      </c>
      <c r="D471" s="45" t="s">
        <v>280</v>
      </c>
      <c r="E471" s="45">
        <v>5773</v>
      </c>
      <c r="F471" s="45"/>
      <c r="G471" s="45"/>
      <c r="H471" s="45">
        <v>808</v>
      </c>
    </row>
    <row r="472" spans="1:19">
      <c r="A472" s="44">
        <v>2015</v>
      </c>
      <c r="B472" s="44" t="s">
        <v>106</v>
      </c>
      <c r="C472" s="44" t="s">
        <v>43</v>
      </c>
      <c r="D472" s="44" t="s">
        <v>281</v>
      </c>
      <c r="E472" s="44">
        <v>3947</v>
      </c>
      <c r="F472" s="44"/>
      <c r="G472" s="44"/>
      <c r="H472" s="44">
        <v>670</v>
      </c>
      <c r="Q472" s="42">
        <f t="shared" si="8"/>
        <v>670</v>
      </c>
      <c r="R472" s="48">
        <v>0.17</v>
      </c>
      <c r="S472" s="42" t="s">
        <v>267</v>
      </c>
    </row>
    <row r="473" spans="1:19">
      <c r="A473" s="45">
        <v>2015</v>
      </c>
      <c r="B473" s="45" t="s">
        <v>106</v>
      </c>
      <c r="C473" s="45" t="s">
        <v>43</v>
      </c>
      <c r="D473" s="45" t="s">
        <v>285</v>
      </c>
      <c r="E473" s="45">
        <v>5215</v>
      </c>
      <c r="F473" s="45"/>
      <c r="G473" s="45"/>
      <c r="H473" s="45">
        <v>886</v>
      </c>
      <c r="Q473" s="42">
        <f t="shared" si="8"/>
        <v>730</v>
      </c>
      <c r="R473" s="48">
        <v>0.14000000000000001</v>
      </c>
      <c r="S473" s="42" t="s">
        <v>268</v>
      </c>
    </row>
    <row r="474" spans="1:19">
      <c r="A474" s="44">
        <v>2015</v>
      </c>
      <c r="B474" s="44" t="s">
        <v>107</v>
      </c>
      <c r="C474" s="44" t="s">
        <v>43</v>
      </c>
      <c r="D474" s="44" t="s">
        <v>267</v>
      </c>
      <c r="E474" s="44">
        <v>87197</v>
      </c>
      <c r="F474" s="44"/>
      <c r="G474" s="44"/>
      <c r="H474" s="44">
        <v>14823</v>
      </c>
      <c r="Q474" s="42">
        <f t="shared" si="8"/>
        <v>12207</v>
      </c>
      <c r="R474" s="48">
        <v>0.14000000000000001</v>
      </c>
      <c r="S474" s="42" t="s">
        <v>269</v>
      </c>
    </row>
    <row r="475" spans="1:19">
      <c r="A475" s="45">
        <v>2015</v>
      </c>
      <c r="B475" s="45" t="s">
        <v>107</v>
      </c>
      <c r="C475" s="45" t="s">
        <v>43</v>
      </c>
      <c r="D475" s="45" t="s">
        <v>268</v>
      </c>
      <c r="E475" s="45">
        <v>68289</v>
      </c>
      <c r="F475" s="45"/>
      <c r="G475" s="45"/>
      <c r="H475" s="45">
        <v>9560</v>
      </c>
      <c r="Q475" s="42">
        <f t="shared" si="8"/>
        <v>9560</v>
      </c>
      <c r="R475" s="48">
        <v>0.14000000000000001</v>
      </c>
      <c r="S475" s="42" t="s">
        <v>254</v>
      </c>
    </row>
    <row r="476" spans="1:19">
      <c r="A476" s="44">
        <v>2015</v>
      </c>
      <c r="B476" s="44" t="s">
        <v>107</v>
      </c>
      <c r="C476" s="44" t="s">
        <v>43</v>
      </c>
      <c r="D476" s="44" t="s">
        <v>269</v>
      </c>
      <c r="E476" s="44">
        <v>57158</v>
      </c>
      <c r="F476" s="44"/>
      <c r="G476" s="44"/>
      <c r="H476" s="44">
        <v>8002</v>
      </c>
      <c r="Q476" s="42">
        <f t="shared" si="8"/>
        <v>8002</v>
      </c>
      <c r="R476" s="48">
        <v>0.14000000000000001</v>
      </c>
      <c r="S476" s="42" t="s">
        <v>270</v>
      </c>
    </row>
    <row r="477" spans="1:19">
      <c r="A477" s="45">
        <v>2015</v>
      </c>
      <c r="B477" s="45" t="s">
        <v>107</v>
      </c>
      <c r="C477" s="45" t="s">
        <v>43</v>
      </c>
      <c r="D477" s="45" t="s">
        <v>254</v>
      </c>
      <c r="E477" s="45">
        <v>50620</v>
      </c>
      <c r="F477" s="45"/>
      <c r="G477" s="45"/>
      <c r="H477" s="45">
        <v>7086</v>
      </c>
      <c r="Q477" s="42">
        <f t="shared" si="8"/>
        <v>7086</v>
      </c>
      <c r="R477" s="48">
        <v>0.14000000000000001</v>
      </c>
      <c r="S477" s="42" t="s">
        <v>271</v>
      </c>
    </row>
    <row r="478" spans="1:19">
      <c r="A478" s="44">
        <v>2015</v>
      </c>
      <c r="B478" s="44" t="s">
        <v>107</v>
      </c>
      <c r="C478" s="44" t="s">
        <v>43</v>
      </c>
      <c r="D478" s="44" t="s">
        <v>270</v>
      </c>
      <c r="E478" s="44">
        <v>41661</v>
      </c>
      <c r="F478" s="44"/>
      <c r="G478" s="44"/>
      <c r="H478" s="44">
        <v>5832</v>
      </c>
      <c r="Q478" s="42">
        <f t="shared" si="8"/>
        <v>5832</v>
      </c>
      <c r="R478" s="48">
        <v>0.14000000000000001</v>
      </c>
      <c r="S478" s="42" t="s">
        <v>272</v>
      </c>
    </row>
    <row r="479" spans="1:19">
      <c r="A479" s="45">
        <v>2015</v>
      </c>
      <c r="B479" s="45" t="s">
        <v>107</v>
      </c>
      <c r="C479" s="45" t="s">
        <v>43</v>
      </c>
      <c r="D479" s="45" t="s">
        <v>271</v>
      </c>
      <c r="E479" s="45">
        <v>33784</v>
      </c>
      <c r="F479" s="45"/>
      <c r="G479" s="45"/>
      <c r="H479" s="45">
        <v>4729</v>
      </c>
      <c r="Q479" s="42">
        <f t="shared" si="8"/>
        <v>4729</v>
      </c>
      <c r="R479" s="48">
        <v>0.14000000000000001</v>
      </c>
      <c r="S479" s="42" t="s">
        <v>273</v>
      </c>
    </row>
    <row r="480" spans="1:19">
      <c r="A480" s="44">
        <v>2015</v>
      </c>
      <c r="B480" s="44" t="s">
        <v>107</v>
      </c>
      <c r="C480" s="44" t="s">
        <v>43</v>
      </c>
      <c r="D480" s="44" t="s">
        <v>272</v>
      </c>
      <c r="E480" s="44">
        <v>28312</v>
      </c>
      <c r="F480" s="44"/>
      <c r="G480" s="44"/>
      <c r="H480" s="44">
        <v>3963</v>
      </c>
      <c r="Q480" s="42">
        <f t="shared" si="8"/>
        <v>3963</v>
      </c>
      <c r="R480" s="48">
        <v>0.14000000000000001</v>
      </c>
      <c r="S480" s="42" t="s">
        <v>274</v>
      </c>
    </row>
    <row r="481" spans="1:19">
      <c r="A481" s="45">
        <v>2015</v>
      </c>
      <c r="B481" s="45" t="s">
        <v>107</v>
      </c>
      <c r="C481" s="45" t="s">
        <v>43</v>
      </c>
      <c r="D481" s="45" t="s">
        <v>273</v>
      </c>
      <c r="E481" s="45">
        <v>20200</v>
      </c>
      <c r="F481" s="45"/>
      <c r="G481" s="45"/>
      <c r="H481" s="45">
        <v>2828</v>
      </c>
      <c r="Q481" s="42">
        <f t="shared" si="8"/>
        <v>2828</v>
      </c>
      <c r="R481" s="48">
        <v>0.14000000000000001</v>
      </c>
      <c r="S481" s="42" t="s">
        <v>275</v>
      </c>
    </row>
    <row r="482" spans="1:19">
      <c r="A482" s="44">
        <v>2015</v>
      </c>
      <c r="B482" s="44" t="s">
        <v>107</v>
      </c>
      <c r="C482" s="44" t="s">
        <v>43</v>
      </c>
      <c r="D482" s="44" t="s">
        <v>274</v>
      </c>
      <c r="E482" s="44">
        <v>17232</v>
      </c>
      <c r="F482" s="44"/>
      <c r="G482" s="44"/>
      <c r="H482" s="44">
        <v>2412</v>
      </c>
      <c r="Q482" s="42">
        <f t="shared" si="8"/>
        <v>2412</v>
      </c>
      <c r="R482" s="48">
        <v>0.14000000000000001</v>
      </c>
      <c r="S482" s="42" t="s">
        <v>276</v>
      </c>
    </row>
    <row r="483" spans="1:19">
      <c r="A483" s="45">
        <v>2015</v>
      </c>
      <c r="B483" s="45" t="s">
        <v>107</v>
      </c>
      <c r="C483" s="45" t="s">
        <v>43</v>
      </c>
      <c r="D483" s="45" t="s">
        <v>275</v>
      </c>
      <c r="E483" s="45">
        <v>12127</v>
      </c>
      <c r="F483" s="45"/>
      <c r="G483" s="45"/>
      <c r="H483" s="45">
        <v>1697</v>
      </c>
      <c r="Q483" s="42">
        <f t="shared" si="8"/>
        <v>1697</v>
      </c>
      <c r="R483" s="48">
        <v>0.14000000000000001</v>
      </c>
      <c r="S483" s="42" t="s">
        <v>277</v>
      </c>
    </row>
    <row r="484" spans="1:19">
      <c r="A484" s="44">
        <v>2015</v>
      </c>
      <c r="B484" s="44" t="s">
        <v>107</v>
      </c>
      <c r="C484" s="44" t="s">
        <v>43</v>
      </c>
      <c r="D484" s="44" t="s">
        <v>276</v>
      </c>
      <c r="E484" s="44">
        <v>10408</v>
      </c>
      <c r="F484" s="44"/>
      <c r="G484" s="44"/>
      <c r="H484" s="44">
        <v>1457</v>
      </c>
      <c r="Q484" s="42">
        <f t="shared" si="8"/>
        <v>1457</v>
      </c>
      <c r="R484" s="48">
        <v>0.14000000000000001</v>
      </c>
      <c r="S484" s="42" t="s">
        <v>278</v>
      </c>
    </row>
    <row r="485" spans="1:19">
      <c r="A485" s="45">
        <v>2015</v>
      </c>
      <c r="B485" s="45" t="s">
        <v>107</v>
      </c>
      <c r="C485" s="45" t="s">
        <v>43</v>
      </c>
      <c r="D485" s="45" t="s">
        <v>277</v>
      </c>
      <c r="E485" s="45">
        <v>7708</v>
      </c>
      <c r="F485" s="45"/>
      <c r="G485" s="45"/>
      <c r="H485" s="45">
        <v>1079</v>
      </c>
      <c r="Q485" s="42">
        <f t="shared" si="8"/>
        <v>1079</v>
      </c>
      <c r="R485" s="48">
        <v>0.14000000000000001</v>
      </c>
      <c r="S485" s="42" t="s">
        <v>279</v>
      </c>
    </row>
    <row r="486" spans="1:19">
      <c r="A486" s="44">
        <v>2015</v>
      </c>
      <c r="B486" s="44" t="s">
        <v>107</v>
      </c>
      <c r="C486" s="44" t="s">
        <v>43</v>
      </c>
      <c r="D486" s="44" t="s">
        <v>278</v>
      </c>
      <c r="E486" s="44">
        <v>5255</v>
      </c>
      <c r="F486" s="44"/>
      <c r="G486" s="44"/>
      <c r="H486" s="44">
        <v>735</v>
      </c>
      <c r="Q486" s="42">
        <f t="shared" si="8"/>
        <v>735</v>
      </c>
      <c r="R486" s="48">
        <v>0.14000000000000001</v>
      </c>
      <c r="S486" s="42" t="s">
        <v>280</v>
      </c>
    </row>
    <row r="487" spans="1:19">
      <c r="A487" s="45">
        <v>2015</v>
      </c>
      <c r="B487" s="45" t="s">
        <v>107</v>
      </c>
      <c r="C487" s="45" t="s">
        <v>43</v>
      </c>
      <c r="D487" s="45" t="s">
        <v>279</v>
      </c>
      <c r="E487" s="45">
        <v>5504</v>
      </c>
      <c r="F487" s="45"/>
      <c r="G487" s="45"/>
      <c r="H487" s="45">
        <v>770</v>
      </c>
      <c r="Q487" s="42">
        <f t="shared" si="8"/>
        <v>935</v>
      </c>
      <c r="R487" s="48">
        <v>0.17</v>
      </c>
      <c r="S487" s="42" t="s">
        <v>281</v>
      </c>
    </row>
    <row r="488" spans="1:19">
      <c r="A488" s="44">
        <v>2015</v>
      </c>
      <c r="B488" s="44" t="s">
        <v>107</v>
      </c>
      <c r="C488" s="44" t="s">
        <v>43</v>
      </c>
      <c r="D488" s="44" t="s">
        <v>280</v>
      </c>
      <c r="E488" s="44">
        <v>4003</v>
      </c>
      <c r="F488" s="44"/>
      <c r="G488" s="44"/>
      <c r="H488" s="44">
        <v>560</v>
      </c>
      <c r="Q488" s="42">
        <f t="shared" si="8"/>
        <v>680</v>
      </c>
      <c r="R488" s="48">
        <v>0.17</v>
      </c>
      <c r="S488" s="42" t="s">
        <v>282</v>
      </c>
    </row>
    <row r="489" spans="1:19">
      <c r="A489" s="45">
        <v>2015</v>
      </c>
      <c r="B489" s="45" t="s">
        <v>107</v>
      </c>
      <c r="C489" s="45" t="s">
        <v>43</v>
      </c>
      <c r="D489" s="45" t="s">
        <v>281</v>
      </c>
      <c r="E489" s="45">
        <v>2875</v>
      </c>
      <c r="F489" s="45"/>
      <c r="G489" s="45"/>
      <c r="H489" s="45">
        <v>488</v>
      </c>
    </row>
    <row r="490" spans="1:19">
      <c r="A490" s="44">
        <v>2015</v>
      </c>
      <c r="B490" s="44" t="s">
        <v>107</v>
      </c>
      <c r="C490" s="44" t="s">
        <v>43</v>
      </c>
      <c r="D490" s="44" t="s">
        <v>285</v>
      </c>
      <c r="E490" s="44">
        <v>3165</v>
      </c>
      <c r="F490" s="44"/>
      <c r="G490" s="44"/>
      <c r="H490" s="44">
        <v>538</v>
      </c>
    </row>
    <row r="491" spans="1:19">
      <c r="A491" s="45">
        <v>2015</v>
      </c>
      <c r="B491" s="45" t="s">
        <v>109</v>
      </c>
      <c r="C491" s="45" t="s">
        <v>43</v>
      </c>
      <c r="D491" s="45" t="s">
        <v>267</v>
      </c>
      <c r="E491" s="45">
        <v>126969</v>
      </c>
      <c r="F491" s="45"/>
      <c r="G491" s="45"/>
      <c r="H491" s="45">
        <v>21584</v>
      </c>
      <c r="Q491" s="42">
        <f t="shared" si="8"/>
        <v>21584</v>
      </c>
      <c r="R491" s="48">
        <v>0.17</v>
      </c>
      <c r="S491" s="42" t="s">
        <v>267</v>
      </c>
    </row>
    <row r="492" spans="1:19">
      <c r="A492" s="44">
        <v>2015</v>
      </c>
      <c r="B492" s="44" t="s">
        <v>109</v>
      </c>
      <c r="C492" s="44" t="s">
        <v>43</v>
      </c>
      <c r="D492" s="44" t="s">
        <v>268</v>
      </c>
      <c r="E492" s="44">
        <v>105544</v>
      </c>
      <c r="F492" s="44"/>
      <c r="G492" s="44"/>
      <c r="H492" s="44">
        <v>14776</v>
      </c>
      <c r="Q492" s="42">
        <f t="shared" si="8"/>
        <v>14776</v>
      </c>
      <c r="R492" s="48">
        <v>0.14000000000000001</v>
      </c>
      <c r="S492" s="42" t="s">
        <v>268</v>
      </c>
    </row>
    <row r="493" spans="1:19">
      <c r="A493" s="45">
        <v>2015</v>
      </c>
      <c r="B493" s="45" t="s">
        <v>109</v>
      </c>
      <c r="C493" s="45" t="s">
        <v>43</v>
      </c>
      <c r="D493" s="45" t="s">
        <v>269</v>
      </c>
      <c r="E493" s="45">
        <v>83709</v>
      </c>
      <c r="F493" s="45"/>
      <c r="G493" s="45"/>
      <c r="H493" s="45">
        <v>11719</v>
      </c>
      <c r="Q493" s="42">
        <f t="shared" si="8"/>
        <v>11719</v>
      </c>
      <c r="R493" s="48">
        <v>0.14000000000000001</v>
      </c>
      <c r="S493" s="42" t="s">
        <v>269</v>
      </c>
    </row>
    <row r="494" spans="1:19">
      <c r="A494" s="44">
        <v>2015</v>
      </c>
      <c r="B494" s="44" t="s">
        <v>109</v>
      </c>
      <c r="C494" s="44" t="s">
        <v>43</v>
      </c>
      <c r="D494" s="44" t="s">
        <v>254</v>
      </c>
      <c r="E494" s="44">
        <v>71220</v>
      </c>
      <c r="F494" s="44"/>
      <c r="G494" s="44"/>
      <c r="H494" s="44">
        <v>9970</v>
      </c>
      <c r="Q494" s="42">
        <f t="shared" si="8"/>
        <v>9970</v>
      </c>
      <c r="R494" s="48">
        <v>0.14000000000000001</v>
      </c>
      <c r="S494" s="42" t="s">
        <v>254</v>
      </c>
    </row>
    <row r="495" spans="1:19">
      <c r="A495" s="45">
        <v>2015</v>
      </c>
      <c r="B495" s="45" t="s">
        <v>109</v>
      </c>
      <c r="C495" s="45" t="s">
        <v>43</v>
      </c>
      <c r="D495" s="45" t="s">
        <v>270</v>
      </c>
      <c r="E495" s="45">
        <v>57918</v>
      </c>
      <c r="F495" s="45"/>
      <c r="G495" s="45"/>
      <c r="H495" s="45">
        <v>8108</v>
      </c>
      <c r="Q495" s="42">
        <f t="shared" si="8"/>
        <v>8108</v>
      </c>
      <c r="R495" s="48">
        <v>0.14000000000000001</v>
      </c>
      <c r="S495" s="42" t="s">
        <v>270</v>
      </c>
    </row>
    <row r="496" spans="1:19">
      <c r="A496" s="44">
        <v>2015</v>
      </c>
      <c r="B496" s="44" t="s">
        <v>109</v>
      </c>
      <c r="C496" s="44" t="s">
        <v>43</v>
      </c>
      <c r="D496" s="44" t="s">
        <v>271</v>
      </c>
      <c r="E496" s="44">
        <v>46562</v>
      </c>
      <c r="F496" s="44"/>
      <c r="G496" s="44"/>
      <c r="H496" s="44">
        <v>6518</v>
      </c>
      <c r="Q496" s="42">
        <f t="shared" si="8"/>
        <v>6518</v>
      </c>
      <c r="R496" s="48">
        <v>0.14000000000000001</v>
      </c>
      <c r="S496" s="42" t="s">
        <v>271</v>
      </c>
    </row>
    <row r="497" spans="1:19">
      <c r="A497" s="45">
        <v>2015</v>
      </c>
      <c r="B497" s="45" t="s">
        <v>109</v>
      </c>
      <c r="C497" s="45" t="s">
        <v>43</v>
      </c>
      <c r="D497" s="45" t="s">
        <v>272</v>
      </c>
      <c r="E497" s="45">
        <v>40520</v>
      </c>
      <c r="F497" s="45"/>
      <c r="G497" s="45"/>
      <c r="H497" s="45">
        <v>5672</v>
      </c>
      <c r="Q497" s="42">
        <f t="shared" si="8"/>
        <v>5672</v>
      </c>
      <c r="R497" s="48">
        <v>0.14000000000000001</v>
      </c>
      <c r="S497" s="42" t="s">
        <v>272</v>
      </c>
    </row>
    <row r="498" spans="1:19">
      <c r="A498" s="44">
        <v>2015</v>
      </c>
      <c r="B498" s="44" t="s">
        <v>109</v>
      </c>
      <c r="C498" s="44" t="s">
        <v>43</v>
      </c>
      <c r="D498" s="44" t="s">
        <v>273</v>
      </c>
      <c r="E498" s="44">
        <v>28547</v>
      </c>
      <c r="F498" s="44"/>
      <c r="G498" s="44"/>
      <c r="H498" s="44">
        <v>3996</v>
      </c>
      <c r="Q498" s="42">
        <f t="shared" si="8"/>
        <v>3996</v>
      </c>
      <c r="R498" s="48">
        <v>0.14000000000000001</v>
      </c>
      <c r="S498" s="42" t="s">
        <v>273</v>
      </c>
    </row>
    <row r="499" spans="1:19">
      <c r="A499" s="45">
        <v>2015</v>
      </c>
      <c r="B499" s="45" t="s">
        <v>109</v>
      </c>
      <c r="C499" s="45" t="s">
        <v>43</v>
      </c>
      <c r="D499" s="45" t="s">
        <v>274</v>
      </c>
      <c r="E499" s="45">
        <v>25067</v>
      </c>
      <c r="F499" s="45"/>
      <c r="G499" s="45"/>
      <c r="H499" s="45">
        <v>3509</v>
      </c>
      <c r="Q499" s="42">
        <f t="shared" ref="Q499:Q562" si="9">INT(E499*R499)</f>
        <v>3509</v>
      </c>
      <c r="R499" s="48">
        <v>0.14000000000000001</v>
      </c>
      <c r="S499" s="42" t="s">
        <v>274</v>
      </c>
    </row>
    <row r="500" spans="1:19">
      <c r="A500" s="44">
        <v>2015</v>
      </c>
      <c r="B500" s="44" t="s">
        <v>109</v>
      </c>
      <c r="C500" s="44" t="s">
        <v>43</v>
      </c>
      <c r="D500" s="44" t="s">
        <v>275</v>
      </c>
      <c r="E500" s="44">
        <v>17403</v>
      </c>
      <c r="F500" s="44"/>
      <c r="G500" s="44"/>
      <c r="H500" s="44">
        <v>2436</v>
      </c>
      <c r="Q500" s="42">
        <f t="shared" si="9"/>
        <v>2436</v>
      </c>
      <c r="R500" s="48">
        <v>0.14000000000000001</v>
      </c>
      <c r="S500" s="42" t="s">
        <v>275</v>
      </c>
    </row>
    <row r="501" spans="1:19">
      <c r="A501" s="45">
        <v>2015</v>
      </c>
      <c r="B501" s="45" t="s">
        <v>109</v>
      </c>
      <c r="C501" s="45" t="s">
        <v>43</v>
      </c>
      <c r="D501" s="45" t="s">
        <v>276</v>
      </c>
      <c r="E501" s="45">
        <v>15474</v>
      </c>
      <c r="F501" s="45"/>
      <c r="G501" s="45"/>
      <c r="H501" s="45">
        <v>2166</v>
      </c>
      <c r="Q501" s="42">
        <f t="shared" si="9"/>
        <v>2166</v>
      </c>
      <c r="R501" s="48">
        <v>0.14000000000000001</v>
      </c>
      <c r="S501" s="42" t="s">
        <v>276</v>
      </c>
    </row>
    <row r="502" spans="1:19">
      <c r="A502" s="44">
        <v>2015</v>
      </c>
      <c r="B502" s="44" t="s">
        <v>109</v>
      </c>
      <c r="C502" s="44" t="s">
        <v>43</v>
      </c>
      <c r="D502" s="44" t="s">
        <v>277</v>
      </c>
      <c r="E502" s="44">
        <v>11330</v>
      </c>
      <c r="F502" s="44"/>
      <c r="G502" s="44"/>
      <c r="H502" s="44">
        <v>1586</v>
      </c>
      <c r="Q502" s="42">
        <f t="shared" si="9"/>
        <v>1586</v>
      </c>
      <c r="R502" s="48">
        <v>0.14000000000000001</v>
      </c>
      <c r="S502" s="42" t="s">
        <v>277</v>
      </c>
    </row>
    <row r="503" spans="1:19">
      <c r="A503" s="45">
        <v>2015</v>
      </c>
      <c r="B503" s="45" t="s">
        <v>109</v>
      </c>
      <c r="C503" s="45" t="s">
        <v>43</v>
      </c>
      <c r="D503" s="45" t="s">
        <v>278</v>
      </c>
      <c r="E503" s="45">
        <v>7709</v>
      </c>
      <c r="F503" s="45"/>
      <c r="G503" s="45"/>
      <c r="H503" s="45">
        <v>1079</v>
      </c>
      <c r="Q503" s="42">
        <f t="shared" si="9"/>
        <v>1079</v>
      </c>
      <c r="R503" s="48">
        <v>0.14000000000000001</v>
      </c>
      <c r="S503" s="42" t="s">
        <v>278</v>
      </c>
    </row>
    <row r="504" spans="1:19">
      <c r="A504" s="44">
        <v>2015</v>
      </c>
      <c r="B504" s="44" t="s">
        <v>109</v>
      </c>
      <c r="C504" s="44" t="s">
        <v>43</v>
      </c>
      <c r="D504" s="44" t="s">
        <v>279</v>
      </c>
      <c r="E504" s="44">
        <v>7398</v>
      </c>
      <c r="F504" s="44"/>
      <c r="G504" s="44"/>
      <c r="H504" s="44">
        <v>1035</v>
      </c>
      <c r="Q504" s="42">
        <f t="shared" si="9"/>
        <v>1035</v>
      </c>
      <c r="R504" s="48">
        <v>0.14000000000000001</v>
      </c>
      <c r="S504" s="42" t="s">
        <v>279</v>
      </c>
    </row>
    <row r="505" spans="1:19">
      <c r="A505" s="45">
        <v>2015</v>
      </c>
      <c r="B505" s="45" t="s">
        <v>109</v>
      </c>
      <c r="C505" s="45" t="s">
        <v>43</v>
      </c>
      <c r="D505" s="45" t="s">
        <v>280</v>
      </c>
      <c r="E505" s="45">
        <v>5444</v>
      </c>
      <c r="F505" s="45"/>
      <c r="G505" s="45"/>
      <c r="H505" s="45">
        <v>762</v>
      </c>
      <c r="Q505" s="42">
        <f t="shared" si="9"/>
        <v>762</v>
      </c>
      <c r="R505" s="48">
        <v>0.14000000000000001</v>
      </c>
      <c r="S505" s="42" t="s">
        <v>280</v>
      </c>
    </row>
    <row r="506" spans="1:19">
      <c r="A506" s="44">
        <v>2015</v>
      </c>
      <c r="B506" s="44" t="s">
        <v>109</v>
      </c>
      <c r="C506" s="44" t="s">
        <v>43</v>
      </c>
      <c r="D506" s="44" t="s">
        <v>281</v>
      </c>
      <c r="E506" s="44">
        <v>3502</v>
      </c>
      <c r="F506" s="44"/>
      <c r="G506" s="44"/>
      <c r="H506" s="44">
        <v>595</v>
      </c>
      <c r="Q506" s="42">
        <f t="shared" si="9"/>
        <v>595</v>
      </c>
      <c r="R506" s="48">
        <v>0.17</v>
      </c>
      <c r="S506" s="42" t="s">
        <v>281</v>
      </c>
    </row>
    <row r="507" spans="1:19">
      <c r="A507" s="45">
        <v>2015</v>
      </c>
      <c r="B507" s="45" t="s">
        <v>109</v>
      </c>
      <c r="C507" s="45" t="s">
        <v>43</v>
      </c>
      <c r="D507" s="45" t="s">
        <v>285</v>
      </c>
      <c r="E507" s="45">
        <v>3136</v>
      </c>
      <c r="F507" s="45"/>
      <c r="G507" s="45"/>
      <c r="H507" s="45">
        <v>533</v>
      </c>
      <c r="Q507" s="42">
        <f t="shared" si="9"/>
        <v>533</v>
      </c>
      <c r="R507" s="48">
        <v>0.17</v>
      </c>
      <c r="S507" s="42" t="s">
        <v>282</v>
      </c>
    </row>
    <row r="508" spans="1:19">
      <c r="A508" s="44">
        <v>2015</v>
      </c>
      <c r="B508" s="44" t="s">
        <v>108</v>
      </c>
      <c r="C508" s="44" t="s">
        <v>43</v>
      </c>
      <c r="D508" s="44" t="s">
        <v>267</v>
      </c>
      <c r="E508" s="44">
        <v>81784</v>
      </c>
      <c r="F508" s="44"/>
      <c r="G508" s="44"/>
      <c r="H508" s="44">
        <v>13903</v>
      </c>
    </row>
    <row r="509" spans="1:19">
      <c r="A509" s="45">
        <v>2015</v>
      </c>
      <c r="B509" s="45" t="s">
        <v>108</v>
      </c>
      <c r="C509" s="45" t="s">
        <v>43</v>
      </c>
      <c r="D509" s="45" t="s">
        <v>268</v>
      </c>
      <c r="E509" s="45">
        <v>69526</v>
      </c>
      <c r="F509" s="45"/>
      <c r="G509" s="45"/>
      <c r="H509" s="45">
        <v>9733</v>
      </c>
    </row>
    <row r="510" spans="1:19">
      <c r="A510" s="44">
        <v>2015</v>
      </c>
      <c r="B510" s="44" t="s">
        <v>108</v>
      </c>
      <c r="C510" s="44" t="s">
        <v>43</v>
      </c>
      <c r="D510" s="44" t="s">
        <v>269</v>
      </c>
      <c r="E510" s="44">
        <v>52101</v>
      </c>
      <c r="F510" s="44"/>
      <c r="G510" s="44"/>
      <c r="H510" s="44">
        <v>7294</v>
      </c>
      <c r="Q510" s="42">
        <f t="shared" si="9"/>
        <v>8857</v>
      </c>
      <c r="R510" s="48">
        <v>0.17</v>
      </c>
      <c r="S510" s="42" t="s">
        <v>267</v>
      </c>
    </row>
    <row r="511" spans="1:19">
      <c r="A511" s="45">
        <v>2015</v>
      </c>
      <c r="B511" s="45" t="s">
        <v>108</v>
      </c>
      <c r="C511" s="45" t="s">
        <v>43</v>
      </c>
      <c r="D511" s="45" t="s">
        <v>254</v>
      </c>
      <c r="E511" s="45">
        <v>46862</v>
      </c>
      <c r="F511" s="45"/>
      <c r="G511" s="45"/>
      <c r="H511" s="45">
        <v>6560</v>
      </c>
      <c r="Q511" s="42">
        <f t="shared" si="9"/>
        <v>6560</v>
      </c>
      <c r="R511" s="48">
        <v>0.14000000000000001</v>
      </c>
      <c r="S511" s="42" t="s">
        <v>268</v>
      </c>
    </row>
    <row r="512" spans="1:19">
      <c r="A512" s="44">
        <v>2015</v>
      </c>
      <c r="B512" s="44" t="s">
        <v>108</v>
      </c>
      <c r="C512" s="44" t="s">
        <v>43</v>
      </c>
      <c r="D512" s="44" t="s">
        <v>270</v>
      </c>
      <c r="E512" s="44">
        <v>38353</v>
      </c>
      <c r="F512" s="44"/>
      <c r="G512" s="44"/>
      <c r="H512" s="44">
        <v>5369</v>
      </c>
      <c r="Q512" s="42">
        <f t="shared" si="9"/>
        <v>5369</v>
      </c>
      <c r="R512" s="48">
        <v>0.14000000000000001</v>
      </c>
      <c r="S512" s="42" t="s">
        <v>269</v>
      </c>
    </row>
    <row r="513" spans="1:19">
      <c r="A513" s="45">
        <v>2015</v>
      </c>
      <c r="B513" s="45" t="s">
        <v>108</v>
      </c>
      <c r="C513" s="45" t="s">
        <v>43</v>
      </c>
      <c r="D513" s="45" t="s">
        <v>271</v>
      </c>
      <c r="E513" s="45">
        <v>28664</v>
      </c>
      <c r="F513" s="45"/>
      <c r="G513" s="45"/>
      <c r="H513" s="45">
        <v>4012</v>
      </c>
      <c r="Q513" s="42">
        <f t="shared" si="9"/>
        <v>4012</v>
      </c>
      <c r="R513" s="48">
        <v>0.14000000000000001</v>
      </c>
      <c r="S513" s="42" t="s">
        <v>254</v>
      </c>
    </row>
    <row r="514" spans="1:19">
      <c r="A514" s="44">
        <v>2015</v>
      </c>
      <c r="B514" s="44" t="s">
        <v>108</v>
      </c>
      <c r="C514" s="44" t="s">
        <v>43</v>
      </c>
      <c r="D514" s="44" t="s">
        <v>272</v>
      </c>
      <c r="E514" s="44">
        <v>25586</v>
      </c>
      <c r="F514" s="44"/>
      <c r="G514" s="44"/>
      <c r="H514" s="44">
        <v>3582</v>
      </c>
      <c r="Q514" s="42">
        <f t="shared" si="9"/>
        <v>3582</v>
      </c>
      <c r="R514" s="48">
        <v>0.14000000000000001</v>
      </c>
      <c r="S514" s="42" t="s">
        <v>270</v>
      </c>
    </row>
    <row r="515" spans="1:19">
      <c r="A515" s="45">
        <v>2015</v>
      </c>
      <c r="B515" s="45" t="s">
        <v>108</v>
      </c>
      <c r="C515" s="45" t="s">
        <v>43</v>
      </c>
      <c r="D515" s="45" t="s">
        <v>273</v>
      </c>
      <c r="E515" s="45">
        <v>18566</v>
      </c>
      <c r="F515" s="45"/>
      <c r="G515" s="45"/>
      <c r="H515" s="45">
        <v>2599</v>
      </c>
      <c r="Q515" s="42">
        <f t="shared" si="9"/>
        <v>2599</v>
      </c>
      <c r="R515" s="48">
        <v>0.14000000000000001</v>
      </c>
      <c r="S515" s="42" t="s">
        <v>271</v>
      </c>
    </row>
    <row r="516" spans="1:19">
      <c r="A516" s="44">
        <v>2015</v>
      </c>
      <c r="B516" s="44" t="s">
        <v>108</v>
      </c>
      <c r="C516" s="44" t="s">
        <v>43</v>
      </c>
      <c r="D516" s="44" t="s">
        <v>274</v>
      </c>
      <c r="E516" s="44">
        <v>15114</v>
      </c>
      <c r="F516" s="44"/>
      <c r="G516" s="44"/>
      <c r="H516" s="44">
        <v>2115</v>
      </c>
      <c r="Q516" s="42">
        <f t="shared" si="9"/>
        <v>2115</v>
      </c>
      <c r="R516" s="48">
        <v>0.14000000000000001</v>
      </c>
      <c r="S516" s="42" t="s">
        <v>272</v>
      </c>
    </row>
    <row r="517" spans="1:19">
      <c r="A517" s="45">
        <v>2015</v>
      </c>
      <c r="B517" s="45" t="s">
        <v>108</v>
      </c>
      <c r="C517" s="45" t="s">
        <v>43</v>
      </c>
      <c r="D517" s="45" t="s">
        <v>275</v>
      </c>
      <c r="E517" s="45">
        <v>10938</v>
      </c>
      <c r="F517" s="45"/>
      <c r="G517" s="45"/>
      <c r="H517" s="45">
        <v>1531</v>
      </c>
      <c r="Q517" s="42">
        <f t="shared" si="9"/>
        <v>1531</v>
      </c>
      <c r="R517" s="48">
        <v>0.14000000000000001</v>
      </c>
      <c r="S517" s="42" t="s">
        <v>273</v>
      </c>
    </row>
    <row r="518" spans="1:19">
      <c r="A518" s="44">
        <v>2015</v>
      </c>
      <c r="B518" s="44" t="s">
        <v>108</v>
      </c>
      <c r="C518" s="44" t="s">
        <v>43</v>
      </c>
      <c r="D518" s="44" t="s">
        <v>276</v>
      </c>
      <c r="E518" s="44">
        <v>8544</v>
      </c>
      <c r="F518" s="44"/>
      <c r="G518" s="44"/>
      <c r="H518" s="44">
        <v>1196</v>
      </c>
      <c r="Q518" s="42">
        <f t="shared" si="9"/>
        <v>1196</v>
      </c>
      <c r="R518" s="48">
        <v>0.14000000000000001</v>
      </c>
      <c r="S518" s="42" t="s">
        <v>274</v>
      </c>
    </row>
    <row r="519" spans="1:19">
      <c r="A519" s="45">
        <v>2015</v>
      </c>
      <c r="B519" s="45" t="s">
        <v>108</v>
      </c>
      <c r="C519" s="45" t="s">
        <v>43</v>
      </c>
      <c r="D519" s="45" t="s">
        <v>277</v>
      </c>
      <c r="E519" s="45">
        <v>6269</v>
      </c>
      <c r="F519" s="45"/>
      <c r="G519" s="45"/>
      <c r="H519" s="45">
        <v>877</v>
      </c>
      <c r="Q519" s="42">
        <f t="shared" si="9"/>
        <v>877</v>
      </c>
      <c r="R519" s="48">
        <v>0.14000000000000001</v>
      </c>
      <c r="S519" s="42" t="s">
        <v>275</v>
      </c>
    </row>
    <row r="520" spans="1:19">
      <c r="A520" s="44">
        <v>2015</v>
      </c>
      <c r="B520" s="44" t="s">
        <v>108</v>
      </c>
      <c r="C520" s="44" t="s">
        <v>43</v>
      </c>
      <c r="D520" s="44" t="s">
        <v>278</v>
      </c>
      <c r="E520" s="44">
        <v>4216</v>
      </c>
      <c r="F520" s="44"/>
      <c r="G520" s="44"/>
      <c r="H520" s="44">
        <v>590</v>
      </c>
      <c r="Q520" s="42">
        <f t="shared" si="9"/>
        <v>590</v>
      </c>
      <c r="R520" s="48">
        <v>0.14000000000000001</v>
      </c>
      <c r="S520" s="42" t="s">
        <v>276</v>
      </c>
    </row>
    <row r="521" spans="1:19">
      <c r="A521" s="45">
        <v>2015</v>
      </c>
      <c r="B521" s="45" t="s">
        <v>108</v>
      </c>
      <c r="C521" s="45" t="s">
        <v>43</v>
      </c>
      <c r="D521" s="45" t="s">
        <v>279</v>
      </c>
      <c r="E521" s="45">
        <v>4061</v>
      </c>
      <c r="F521" s="45"/>
      <c r="G521" s="45"/>
      <c r="H521" s="45">
        <v>568</v>
      </c>
      <c r="Q521" s="42">
        <f t="shared" si="9"/>
        <v>568</v>
      </c>
      <c r="R521" s="48">
        <v>0.14000000000000001</v>
      </c>
      <c r="S521" s="42" t="s">
        <v>277</v>
      </c>
    </row>
    <row r="522" spans="1:19">
      <c r="A522" s="44">
        <v>2015</v>
      </c>
      <c r="B522" s="44" t="s">
        <v>108</v>
      </c>
      <c r="C522" s="44" t="s">
        <v>43</v>
      </c>
      <c r="D522" s="44" t="s">
        <v>280</v>
      </c>
      <c r="E522" s="44">
        <v>3006</v>
      </c>
      <c r="F522" s="44"/>
      <c r="G522" s="44"/>
      <c r="H522" s="44">
        <v>420</v>
      </c>
      <c r="Q522" s="42">
        <f t="shared" si="9"/>
        <v>420</v>
      </c>
      <c r="R522" s="48">
        <v>0.14000000000000001</v>
      </c>
      <c r="S522" s="42" t="s">
        <v>278</v>
      </c>
    </row>
    <row r="523" spans="1:19">
      <c r="A523" s="45">
        <v>2015</v>
      </c>
      <c r="B523" s="45" t="s">
        <v>108</v>
      </c>
      <c r="C523" s="45" t="s">
        <v>43</v>
      </c>
      <c r="D523" s="45" t="s">
        <v>281</v>
      </c>
      <c r="E523" s="45">
        <v>2152</v>
      </c>
      <c r="F523" s="45"/>
      <c r="G523" s="45"/>
      <c r="H523" s="45">
        <v>365</v>
      </c>
      <c r="Q523" s="42">
        <f t="shared" si="9"/>
        <v>301</v>
      </c>
      <c r="R523" s="48">
        <v>0.14000000000000001</v>
      </c>
      <c r="S523" s="42" t="s">
        <v>279</v>
      </c>
    </row>
    <row r="524" spans="1:19">
      <c r="A524" s="44">
        <v>2015</v>
      </c>
      <c r="B524" s="44" t="s">
        <v>108</v>
      </c>
      <c r="C524" s="44" t="s">
        <v>43</v>
      </c>
      <c r="D524" s="44" t="s">
        <v>285</v>
      </c>
      <c r="E524" s="44">
        <v>2835</v>
      </c>
      <c r="F524" s="44"/>
      <c r="G524" s="44"/>
      <c r="H524" s="44">
        <v>481</v>
      </c>
      <c r="Q524" s="42">
        <f t="shared" si="9"/>
        <v>396</v>
      </c>
      <c r="R524" s="48">
        <v>0.14000000000000001</v>
      </c>
      <c r="S524" s="42" t="s">
        <v>280</v>
      </c>
    </row>
    <row r="525" spans="1:19">
      <c r="A525" s="45">
        <v>2015</v>
      </c>
      <c r="B525" s="45" t="s">
        <v>110</v>
      </c>
      <c r="C525" s="45" t="s">
        <v>43</v>
      </c>
      <c r="D525" s="45" t="s">
        <v>267</v>
      </c>
      <c r="E525" s="45">
        <v>173780</v>
      </c>
      <c r="F525" s="45"/>
      <c r="G525" s="45"/>
      <c r="H525" s="45">
        <v>29542</v>
      </c>
      <c r="Q525" s="42">
        <f t="shared" si="9"/>
        <v>29542</v>
      </c>
      <c r="R525" s="48">
        <v>0.17</v>
      </c>
      <c r="S525" s="42" t="s">
        <v>281</v>
      </c>
    </row>
    <row r="526" spans="1:19">
      <c r="A526" s="44">
        <v>2015</v>
      </c>
      <c r="B526" s="44" t="s">
        <v>110</v>
      </c>
      <c r="C526" s="44" t="s">
        <v>43</v>
      </c>
      <c r="D526" s="44" t="s">
        <v>268</v>
      </c>
      <c r="E526" s="44">
        <v>146960</v>
      </c>
      <c r="F526" s="44"/>
      <c r="G526" s="44"/>
      <c r="H526" s="44">
        <v>20574</v>
      </c>
      <c r="Q526" s="42">
        <f t="shared" si="9"/>
        <v>24983</v>
      </c>
      <c r="R526" s="48">
        <v>0.17</v>
      </c>
      <c r="S526" s="42" t="s">
        <v>282</v>
      </c>
    </row>
    <row r="527" spans="1:19">
      <c r="A527" s="45">
        <v>2015</v>
      </c>
      <c r="B527" s="45" t="s">
        <v>110</v>
      </c>
      <c r="C527" s="45" t="s">
        <v>43</v>
      </c>
      <c r="D527" s="45" t="s">
        <v>269</v>
      </c>
      <c r="E527" s="45">
        <v>116133</v>
      </c>
      <c r="F527" s="45"/>
      <c r="G527" s="45"/>
      <c r="H527" s="45">
        <v>16258</v>
      </c>
    </row>
    <row r="528" spans="1:19">
      <c r="A528" s="44">
        <v>2015</v>
      </c>
      <c r="B528" s="44" t="s">
        <v>110</v>
      </c>
      <c r="C528" s="44" t="s">
        <v>43</v>
      </c>
      <c r="D528" s="44" t="s">
        <v>254</v>
      </c>
      <c r="E528" s="44">
        <v>104719</v>
      </c>
      <c r="F528" s="44"/>
      <c r="G528" s="44"/>
      <c r="H528" s="44">
        <v>14660</v>
      </c>
    </row>
    <row r="529" spans="1:19">
      <c r="A529" s="45">
        <v>2015</v>
      </c>
      <c r="B529" s="45" t="s">
        <v>110</v>
      </c>
      <c r="C529" s="45" t="s">
        <v>43</v>
      </c>
      <c r="D529" s="45" t="s">
        <v>270</v>
      </c>
      <c r="E529" s="45">
        <v>89854</v>
      </c>
      <c r="F529" s="45"/>
      <c r="G529" s="45"/>
      <c r="H529" s="45">
        <v>12579</v>
      </c>
      <c r="Q529" s="42">
        <f t="shared" si="9"/>
        <v>15275</v>
      </c>
      <c r="R529" s="48">
        <v>0.17</v>
      </c>
      <c r="S529" s="42" t="s">
        <v>267</v>
      </c>
    </row>
    <row r="530" spans="1:19">
      <c r="A530" s="44">
        <v>2015</v>
      </c>
      <c r="B530" s="44" t="s">
        <v>110</v>
      </c>
      <c r="C530" s="44" t="s">
        <v>43</v>
      </c>
      <c r="D530" s="44" t="s">
        <v>271</v>
      </c>
      <c r="E530" s="44">
        <v>70390</v>
      </c>
      <c r="F530" s="44"/>
      <c r="G530" s="44"/>
      <c r="H530" s="44">
        <v>9854</v>
      </c>
      <c r="Q530" s="42">
        <f t="shared" si="9"/>
        <v>9854</v>
      </c>
      <c r="R530" s="48">
        <v>0.14000000000000001</v>
      </c>
      <c r="S530" s="42" t="s">
        <v>268</v>
      </c>
    </row>
    <row r="531" spans="1:19">
      <c r="A531" s="45">
        <v>2015</v>
      </c>
      <c r="B531" s="45" t="s">
        <v>110</v>
      </c>
      <c r="C531" s="45" t="s">
        <v>43</v>
      </c>
      <c r="D531" s="45" t="s">
        <v>272</v>
      </c>
      <c r="E531" s="45">
        <v>59546</v>
      </c>
      <c r="F531" s="45"/>
      <c r="G531" s="45"/>
      <c r="H531" s="45">
        <v>8336</v>
      </c>
      <c r="Q531" s="42">
        <f t="shared" si="9"/>
        <v>8336</v>
      </c>
      <c r="R531" s="48">
        <v>0.14000000000000001</v>
      </c>
      <c r="S531" s="42" t="s">
        <v>269</v>
      </c>
    </row>
    <row r="532" spans="1:19">
      <c r="A532" s="44">
        <v>2015</v>
      </c>
      <c r="B532" s="44" t="s">
        <v>110</v>
      </c>
      <c r="C532" s="44" t="s">
        <v>43</v>
      </c>
      <c r="D532" s="44" t="s">
        <v>273</v>
      </c>
      <c r="E532" s="44">
        <v>46013</v>
      </c>
      <c r="F532" s="44"/>
      <c r="G532" s="44"/>
      <c r="H532" s="44">
        <v>6441</v>
      </c>
      <c r="Q532" s="42">
        <f t="shared" si="9"/>
        <v>6441</v>
      </c>
      <c r="R532" s="48">
        <v>0.14000000000000001</v>
      </c>
      <c r="S532" s="42" t="s">
        <v>254</v>
      </c>
    </row>
    <row r="533" spans="1:19">
      <c r="A533" s="45">
        <v>2015</v>
      </c>
      <c r="B533" s="45" t="s">
        <v>110</v>
      </c>
      <c r="C533" s="45" t="s">
        <v>43</v>
      </c>
      <c r="D533" s="45" t="s">
        <v>274</v>
      </c>
      <c r="E533" s="45">
        <v>34801</v>
      </c>
      <c r="F533" s="45"/>
      <c r="G533" s="45"/>
      <c r="H533" s="45">
        <v>4872</v>
      </c>
      <c r="Q533" s="42">
        <f t="shared" si="9"/>
        <v>4872</v>
      </c>
      <c r="R533" s="48">
        <v>0.14000000000000001</v>
      </c>
      <c r="S533" s="42" t="s">
        <v>270</v>
      </c>
    </row>
    <row r="534" spans="1:19">
      <c r="A534" s="44">
        <v>2015</v>
      </c>
      <c r="B534" s="44" t="s">
        <v>110</v>
      </c>
      <c r="C534" s="44" t="s">
        <v>43</v>
      </c>
      <c r="D534" s="44" t="s">
        <v>275</v>
      </c>
      <c r="E534" s="44">
        <v>24341</v>
      </c>
      <c r="F534" s="44"/>
      <c r="G534" s="44"/>
      <c r="H534" s="44">
        <v>3407</v>
      </c>
      <c r="Q534" s="42">
        <f t="shared" si="9"/>
        <v>3407</v>
      </c>
      <c r="R534" s="48">
        <v>0.14000000000000001</v>
      </c>
      <c r="S534" s="42" t="s">
        <v>271</v>
      </c>
    </row>
    <row r="535" spans="1:19">
      <c r="A535" s="45">
        <v>2015</v>
      </c>
      <c r="B535" s="45" t="s">
        <v>110</v>
      </c>
      <c r="C535" s="45" t="s">
        <v>43</v>
      </c>
      <c r="D535" s="45" t="s">
        <v>276</v>
      </c>
      <c r="E535" s="45">
        <v>19533</v>
      </c>
      <c r="F535" s="45"/>
      <c r="G535" s="45"/>
      <c r="H535" s="45">
        <v>2734</v>
      </c>
      <c r="Q535" s="42">
        <f t="shared" si="9"/>
        <v>2734</v>
      </c>
      <c r="R535" s="48">
        <v>0.14000000000000001</v>
      </c>
      <c r="S535" s="42" t="s">
        <v>272</v>
      </c>
    </row>
    <row r="536" spans="1:19">
      <c r="A536" s="44">
        <v>2015</v>
      </c>
      <c r="B536" s="44" t="s">
        <v>110</v>
      </c>
      <c r="C536" s="44" t="s">
        <v>43</v>
      </c>
      <c r="D536" s="44" t="s">
        <v>277</v>
      </c>
      <c r="E536" s="44">
        <v>15004</v>
      </c>
      <c r="F536" s="44"/>
      <c r="G536" s="44"/>
      <c r="H536" s="44">
        <v>2100</v>
      </c>
      <c r="Q536" s="42">
        <f t="shared" si="9"/>
        <v>2100</v>
      </c>
      <c r="R536" s="48">
        <v>0.14000000000000001</v>
      </c>
      <c r="S536" s="42" t="s">
        <v>273</v>
      </c>
    </row>
    <row r="537" spans="1:19">
      <c r="A537" s="45">
        <v>2015</v>
      </c>
      <c r="B537" s="45" t="s">
        <v>110</v>
      </c>
      <c r="C537" s="45" t="s">
        <v>43</v>
      </c>
      <c r="D537" s="45" t="s">
        <v>278</v>
      </c>
      <c r="E537" s="45">
        <v>9267</v>
      </c>
      <c r="F537" s="45"/>
      <c r="G537" s="45"/>
      <c r="H537" s="45">
        <v>1297</v>
      </c>
      <c r="Q537" s="42">
        <f t="shared" si="9"/>
        <v>1297</v>
      </c>
      <c r="R537" s="48">
        <v>0.14000000000000001</v>
      </c>
      <c r="S537" s="42" t="s">
        <v>274</v>
      </c>
    </row>
    <row r="538" spans="1:19">
      <c r="A538" s="44">
        <v>2015</v>
      </c>
      <c r="B538" s="44" t="s">
        <v>110</v>
      </c>
      <c r="C538" s="44" t="s">
        <v>43</v>
      </c>
      <c r="D538" s="44" t="s">
        <v>279</v>
      </c>
      <c r="E538" s="44">
        <v>8774</v>
      </c>
      <c r="F538" s="44"/>
      <c r="G538" s="44"/>
      <c r="H538" s="44">
        <v>1228</v>
      </c>
      <c r="Q538" s="42">
        <f t="shared" si="9"/>
        <v>1228</v>
      </c>
      <c r="R538" s="48">
        <v>0.14000000000000001</v>
      </c>
      <c r="S538" s="42" t="s">
        <v>275</v>
      </c>
    </row>
    <row r="539" spans="1:19">
      <c r="A539" s="45">
        <v>2015</v>
      </c>
      <c r="B539" s="45" t="s">
        <v>110</v>
      </c>
      <c r="C539" s="45" t="s">
        <v>43</v>
      </c>
      <c r="D539" s="45" t="s">
        <v>280</v>
      </c>
      <c r="E539" s="45">
        <v>6972</v>
      </c>
      <c r="F539" s="45"/>
      <c r="G539" s="45"/>
      <c r="H539" s="45">
        <v>976</v>
      </c>
      <c r="Q539" s="42">
        <f t="shared" si="9"/>
        <v>976</v>
      </c>
      <c r="R539" s="48">
        <v>0.14000000000000001</v>
      </c>
      <c r="S539" s="42" t="s">
        <v>276</v>
      </c>
    </row>
    <row r="540" spans="1:19">
      <c r="A540" s="44">
        <v>2015</v>
      </c>
      <c r="B540" s="44" t="s">
        <v>110</v>
      </c>
      <c r="C540" s="44" t="s">
        <v>43</v>
      </c>
      <c r="D540" s="44" t="s">
        <v>281</v>
      </c>
      <c r="E540" s="44">
        <v>5247</v>
      </c>
      <c r="F540" s="44"/>
      <c r="G540" s="44"/>
      <c r="H540" s="44">
        <v>891</v>
      </c>
      <c r="Q540" s="42">
        <f t="shared" si="9"/>
        <v>734</v>
      </c>
      <c r="R540" s="48">
        <v>0.14000000000000001</v>
      </c>
      <c r="S540" s="42" t="s">
        <v>277</v>
      </c>
    </row>
    <row r="541" spans="1:19">
      <c r="A541" s="45">
        <v>2015</v>
      </c>
      <c r="B541" s="45" t="s">
        <v>110</v>
      </c>
      <c r="C541" s="45" t="s">
        <v>43</v>
      </c>
      <c r="D541" s="45" t="s">
        <v>285</v>
      </c>
      <c r="E541" s="45">
        <v>6643</v>
      </c>
      <c r="F541" s="45"/>
      <c r="G541" s="45"/>
      <c r="H541" s="45">
        <v>1129</v>
      </c>
      <c r="Q541" s="42">
        <f t="shared" si="9"/>
        <v>930</v>
      </c>
      <c r="R541" s="48">
        <v>0.14000000000000001</v>
      </c>
      <c r="S541" s="42" t="s">
        <v>278</v>
      </c>
    </row>
    <row r="542" spans="1:19">
      <c r="A542" s="44">
        <v>2015</v>
      </c>
      <c r="B542" s="44" t="s">
        <v>111</v>
      </c>
      <c r="C542" s="44" t="s">
        <v>43</v>
      </c>
      <c r="D542" s="44" t="s">
        <v>267</v>
      </c>
      <c r="E542" s="44">
        <v>89110</v>
      </c>
      <c r="F542" s="44"/>
      <c r="G542" s="44"/>
      <c r="H542" s="44">
        <v>15148</v>
      </c>
      <c r="Q542" s="42">
        <f t="shared" si="9"/>
        <v>12475</v>
      </c>
      <c r="R542" s="48">
        <v>0.14000000000000001</v>
      </c>
      <c r="S542" s="42" t="s">
        <v>279</v>
      </c>
    </row>
    <row r="543" spans="1:19">
      <c r="A543" s="45">
        <v>2015</v>
      </c>
      <c r="B543" s="45" t="s">
        <v>111</v>
      </c>
      <c r="C543" s="45" t="s">
        <v>43</v>
      </c>
      <c r="D543" s="45" t="s">
        <v>268</v>
      </c>
      <c r="E543" s="45">
        <v>80739</v>
      </c>
      <c r="F543" s="45"/>
      <c r="G543" s="45"/>
      <c r="H543" s="45">
        <v>11303</v>
      </c>
      <c r="Q543" s="42">
        <f t="shared" si="9"/>
        <v>11303</v>
      </c>
      <c r="R543" s="48">
        <v>0.14000000000000001</v>
      </c>
      <c r="S543" s="42" t="s">
        <v>280</v>
      </c>
    </row>
    <row r="544" spans="1:19">
      <c r="A544" s="44">
        <v>2015</v>
      </c>
      <c r="B544" s="44" t="s">
        <v>111</v>
      </c>
      <c r="C544" s="44" t="s">
        <v>43</v>
      </c>
      <c r="D544" s="44" t="s">
        <v>269</v>
      </c>
      <c r="E544" s="44">
        <v>67818</v>
      </c>
      <c r="F544" s="44"/>
      <c r="G544" s="44"/>
      <c r="H544" s="44">
        <v>9494</v>
      </c>
      <c r="Q544" s="42">
        <f t="shared" si="9"/>
        <v>11529</v>
      </c>
      <c r="R544" s="48">
        <v>0.17</v>
      </c>
      <c r="S544" s="42" t="s">
        <v>281</v>
      </c>
    </row>
    <row r="545" spans="1:19">
      <c r="A545" s="45">
        <v>2015</v>
      </c>
      <c r="B545" s="45" t="s">
        <v>111</v>
      </c>
      <c r="C545" s="45" t="s">
        <v>43</v>
      </c>
      <c r="D545" s="45" t="s">
        <v>254</v>
      </c>
      <c r="E545" s="45">
        <v>54584</v>
      </c>
      <c r="F545" s="45"/>
      <c r="G545" s="45"/>
      <c r="H545" s="45">
        <v>7641</v>
      </c>
      <c r="Q545" s="42">
        <f t="shared" si="9"/>
        <v>9279</v>
      </c>
      <c r="R545" s="48">
        <v>0.17</v>
      </c>
      <c r="S545" s="42" t="s">
        <v>282</v>
      </c>
    </row>
    <row r="546" spans="1:19">
      <c r="A546" s="44">
        <v>2015</v>
      </c>
      <c r="B546" s="44" t="s">
        <v>111</v>
      </c>
      <c r="C546" s="44" t="s">
        <v>43</v>
      </c>
      <c r="D546" s="44" t="s">
        <v>270</v>
      </c>
      <c r="E546" s="44">
        <v>44970</v>
      </c>
      <c r="F546" s="44"/>
      <c r="G546" s="44"/>
      <c r="H546" s="44">
        <v>6295</v>
      </c>
    </row>
    <row r="547" spans="1:19">
      <c r="A547" s="45">
        <v>2015</v>
      </c>
      <c r="B547" s="45" t="s">
        <v>111</v>
      </c>
      <c r="C547" s="45" t="s">
        <v>43</v>
      </c>
      <c r="D547" s="45" t="s">
        <v>271</v>
      </c>
      <c r="E547" s="45">
        <v>36441</v>
      </c>
      <c r="F547" s="45"/>
      <c r="G547" s="45"/>
      <c r="H547" s="45">
        <v>5101</v>
      </c>
    </row>
    <row r="548" spans="1:19">
      <c r="A548" s="44">
        <v>2015</v>
      </c>
      <c r="B548" s="44" t="s">
        <v>111</v>
      </c>
      <c r="C548" s="44" t="s">
        <v>43</v>
      </c>
      <c r="D548" s="44" t="s">
        <v>272</v>
      </c>
      <c r="E548" s="44">
        <v>30948</v>
      </c>
      <c r="F548" s="44"/>
      <c r="G548" s="44"/>
      <c r="H548" s="44">
        <v>4332</v>
      </c>
      <c r="Q548" s="42">
        <f t="shared" si="9"/>
        <v>5261</v>
      </c>
      <c r="R548" s="48">
        <v>0.17</v>
      </c>
      <c r="S548" s="42" t="s">
        <v>267</v>
      </c>
    </row>
    <row r="549" spans="1:19">
      <c r="A549" s="45">
        <v>2015</v>
      </c>
      <c r="B549" s="45" t="s">
        <v>111</v>
      </c>
      <c r="C549" s="45" t="s">
        <v>43</v>
      </c>
      <c r="D549" s="45" t="s">
        <v>273</v>
      </c>
      <c r="E549" s="45">
        <v>23732</v>
      </c>
      <c r="F549" s="45"/>
      <c r="G549" s="45"/>
      <c r="H549" s="45">
        <v>3322</v>
      </c>
      <c r="Q549" s="42">
        <f t="shared" si="9"/>
        <v>3322</v>
      </c>
      <c r="R549" s="48">
        <v>0.14000000000000001</v>
      </c>
      <c r="S549" s="42" t="s">
        <v>268</v>
      </c>
    </row>
    <row r="550" spans="1:19">
      <c r="A550" s="44">
        <v>2015</v>
      </c>
      <c r="B550" s="44" t="s">
        <v>111</v>
      </c>
      <c r="C550" s="44" t="s">
        <v>43</v>
      </c>
      <c r="D550" s="44" t="s">
        <v>274</v>
      </c>
      <c r="E550" s="44">
        <v>19002</v>
      </c>
      <c r="F550" s="44"/>
      <c r="G550" s="44"/>
      <c r="H550" s="44">
        <v>2660</v>
      </c>
      <c r="Q550" s="42">
        <f t="shared" si="9"/>
        <v>2660</v>
      </c>
      <c r="R550" s="48">
        <v>0.14000000000000001</v>
      </c>
      <c r="S550" s="42" t="s">
        <v>269</v>
      </c>
    </row>
    <row r="551" spans="1:19">
      <c r="A551" s="45">
        <v>2015</v>
      </c>
      <c r="B551" s="45" t="s">
        <v>111</v>
      </c>
      <c r="C551" s="45" t="s">
        <v>43</v>
      </c>
      <c r="D551" s="45" t="s">
        <v>275</v>
      </c>
      <c r="E551" s="45">
        <v>14082</v>
      </c>
      <c r="F551" s="45"/>
      <c r="G551" s="45"/>
      <c r="H551" s="45">
        <v>1971</v>
      </c>
      <c r="Q551" s="42">
        <f t="shared" si="9"/>
        <v>1971</v>
      </c>
      <c r="R551" s="48">
        <v>0.14000000000000001</v>
      </c>
      <c r="S551" s="42" t="s">
        <v>254</v>
      </c>
    </row>
    <row r="552" spans="1:19">
      <c r="A552" s="44">
        <v>2015</v>
      </c>
      <c r="B552" s="44" t="s">
        <v>111</v>
      </c>
      <c r="C552" s="44" t="s">
        <v>43</v>
      </c>
      <c r="D552" s="44" t="s">
        <v>276</v>
      </c>
      <c r="E552" s="44">
        <v>12365</v>
      </c>
      <c r="F552" s="44"/>
      <c r="G552" s="44"/>
      <c r="H552" s="44">
        <v>1731</v>
      </c>
      <c r="Q552" s="42">
        <f t="shared" si="9"/>
        <v>1731</v>
      </c>
      <c r="R552" s="48">
        <v>0.14000000000000001</v>
      </c>
      <c r="S552" s="42" t="s">
        <v>270</v>
      </c>
    </row>
    <row r="553" spans="1:19">
      <c r="A553" s="45">
        <v>2015</v>
      </c>
      <c r="B553" s="45" t="s">
        <v>111</v>
      </c>
      <c r="C553" s="45" t="s">
        <v>43</v>
      </c>
      <c r="D553" s="45" t="s">
        <v>277</v>
      </c>
      <c r="E553" s="45">
        <v>10657</v>
      </c>
      <c r="F553" s="45"/>
      <c r="G553" s="45"/>
      <c r="H553" s="45">
        <v>1491</v>
      </c>
      <c r="Q553" s="42">
        <f t="shared" si="9"/>
        <v>1491</v>
      </c>
      <c r="R553" s="48">
        <v>0.14000000000000001</v>
      </c>
      <c r="S553" s="42" t="s">
        <v>271</v>
      </c>
    </row>
    <row r="554" spans="1:19">
      <c r="A554" s="44">
        <v>2015</v>
      </c>
      <c r="B554" s="44" t="s">
        <v>111</v>
      </c>
      <c r="C554" s="44" t="s">
        <v>43</v>
      </c>
      <c r="D554" s="44" t="s">
        <v>278</v>
      </c>
      <c r="E554" s="44">
        <v>7186</v>
      </c>
      <c r="F554" s="44"/>
      <c r="G554" s="44"/>
      <c r="H554" s="44">
        <v>1006</v>
      </c>
      <c r="Q554" s="42">
        <f t="shared" si="9"/>
        <v>1006</v>
      </c>
      <c r="R554" s="48">
        <v>0.14000000000000001</v>
      </c>
      <c r="S554" s="42" t="s">
        <v>272</v>
      </c>
    </row>
    <row r="555" spans="1:19">
      <c r="A555" s="45">
        <v>2015</v>
      </c>
      <c r="B555" s="45" t="s">
        <v>111</v>
      </c>
      <c r="C555" s="45" t="s">
        <v>43</v>
      </c>
      <c r="D555" s="45" t="s">
        <v>279</v>
      </c>
      <c r="E555" s="45">
        <v>7220</v>
      </c>
      <c r="F555" s="45"/>
      <c r="G555" s="45"/>
      <c r="H555" s="45">
        <v>1010</v>
      </c>
      <c r="Q555" s="42">
        <f t="shared" si="9"/>
        <v>1010</v>
      </c>
      <c r="R555" s="48">
        <v>0.14000000000000001</v>
      </c>
      <c r="S555" s="42" t="s">
        <v>273</v>
      </c>
    </row>
    <row r="556" spans="1:19">
      <c r="A556" s="44">
        <v>2015</v>
      </c>
      <c r="B556" s="44" t="s">
        <v>111</v>
      </c>
      <c r="C556" s="44" t="s">
        <v>43</v>
      </c>
      <c r="D556" s="44" t="s">
        <v>280</v>
      </c>
      <c r="E556" s="44">
        <v>5019</v>
      </c>
      <c r="F556" s="44"/>
      <c r="G556" s="44"/>
      <c r="H556" s="44">
        <v>702</v>
      </c>
      <c r="Q556" s="42">
        <f t="shared" si="9"/>
        <v>702</v>
      </c>
      <c r="R556" s="48">
        <v>0.14000000000000001</v>
      </c>
      <c r="S556" s="42" t="s">
        <v>274</v>
      </c>
    </row>
    <row r="557" spans="1:19">
      <c r="A557" s="45">
        <v>2015</v>
      </c>
      <c r="B557" s="45" t="s">
        <v>111</v>
      </c>
      <c r="C557" s="45" t="s">
        <v>43</v>
      </c>
      <c r="D557" s="45" t="s">
        <v>281</v>
      </c>
      <c r="E557" s="45">
        <v>3785</v>
      </c>
      <c r="F557" s="45"/>
      <c r="G557" s="45"/>
      <c r="H557" s="45">
        <v>643</v>
      </c>
      <c r="Q557" s="42">
        <f t="shared" si="9"/>
        <v>529</v>
      </c>
      <c r="R557" s="48">
        <v>0.14000000000000001</v>
      </c>
      <c r="S557" s="42" t="s">
        <v>275</v>
      </c>
    </row>
    <row r="558" spans="1:19">
      <c r="A558" s="44">
        <v>2015</v>
      </c>
      <c r="B558" s="44" t="s">
        <v>111</v>
      </c>
      <c r="C558" s="44" t="s">
        <v>43</v>
      </c>
      <c r="D558" s="44" t="s">
        <v>285</v>
      </c>
      <c r="E558" s="44">
        <v>5562</v>
      </c>
      <c r="F558" s="44"/>
      <c r="G558" s="44"/>
      <c r="H558" s="44">
        <v>945</v>
      </c>
      <c r="Q558" s="42">
        <f t="shared" si="9"/>
        <v>778</v>
      </c>
      <c r="R558" s="48">
        <v>0.14000000000000001</v>
      </c>
      <c r="S558" s="42" t="s">
        <v>276</v>
      </c>
    </row>
    <row r="559" spans="1:19">
      <c r="A559" s="44">
        <v>2015</v>
      </c>
      <c r="B559" s="44" t="s">
        <v>102</v>
      </c>
      <c r="C559" s="44" t="s">
        <v>44</v>
      </c>
      <c r="D559" s="44" t="s">
        <v>267</v>
      </c>
      <c r="E559" s="44">
        <v>142461</v>
      </c>
      <c r="F559" s="44"/>
      <c r="G559" s="44"/>
      <c r="H559" s="44">
        <v>24218</v>
      </c>
      <c r="Q559" s="42">
        <f t="shared" si="9"/>
        <v>19944</v>
      </c>
      <c r="R559" s="48">
        <v>0.14000000000000001</v>
      </c>
      <c r="S559" s="42" t="s">
        <v>277</v>
      </c>
    </row>
    <row r="560" spans="1:19">
      <c r="A560" s="45">
        <v>2015</v>
      </c>
      <c r="B560" s="45" t="s">
        <v>102</v>
      </c>
      <c r="C560" s="45" t="s">
        <v>44</v>
      </c>
      <c r="D560" s="45" t="s">
        <v>268</v>
      </c>
      <c r="E560" s="45">
        <v>118565</v>
      </c>
      <c r="F560" s="45"/>
      <c r="G560" s="45"/>
      <c r="H560" s="45">
        <v>16599</v>
      </c>
      <c r="Q560" s="42">
        <f t="shared" si="9"/>
        <v>16599</v>
      </c>
      <c r="R560" s="48">
        <v>0.14000000000000001</v>
      </c>
      <c r="S560" s="42" t="s">
        <v>278</v>
      </c>
    </row>
    <row r="561" spans="1:19">
      <c r="A561" s="44">
        <v>2015</v>
      </c>
      <c r="B561" s="44" t="s">
        <v>102</v>
      </c>
      <c r="C561" s="44" t="s">
        <v>44</v>
      </c>
      <c r="D561" s="44" t="s">
        <v>269</v>
      </c>
      <c r="E561" s="44">
        <v>95800</v>
      </c>
      <c r="F561" s="44"/>
      <c r="G561" s="44"/>
      <c r="H561" s="44">
        <v>13412</v>
      </c>
      <c r="Q561" s="42">
        <f t="shared" si="9"/>
        <v>13412</v>
      </c>
      <c r="R561" s="48">
        <v>0.14000000000000001</v>
      </c>
      <c r="S561" s="42" t="s">
        <v>279</v>
      </c>
    </row>
    <row r="562" spans="1:19">
      <c r="A562" s="45">
        <v>2015</v>
      </c>
      <c r="B562" s="45" t="s">
        <v>102</v>
      </c>
      <c r="C562" s="45" t="s">
        <v>44</v>
      </c>
      <c r="D562" s="45" t="s">
        <v>254</v>
      </c>
      <c r="E562" s="45">
        <v>88487</v>
      </c>
      <c r="F562" s="45"/>
      <c r="G562" s="45"/>
      <c r="H562" s="45">
        <v>12388</v>
      </c>
      <c r="Q562" s="42">
        <f t="shared" si="9"/>
        <v>12388</v>
      </c>
      <c r="R562" s="48">
        <v>0.14000000000000001</v>
      </c>
      <c r="S562" s="42" t="s">
        <v>280</v>
      </c>
    </row>
    <row r="563" spans="1:19">
      <c r="A563" s="44">
        <v>2015</v>
      </c>
      <c r="B563" s="44" t="s">
        <v>102</v>
      </c>
      <c r="C563" s="44" t="s">
        <v>44</v>
      </c>
      <c r="D563" s="44" t="s">
        <v>270</v>
      </c>
      <c r="E563" s="44">
        <v>73377</v>
      </c>
      <c r="F563" s="44"/>
      <c r="G563" s="44"/>
      <c r="H563" s="44">
        <v>10272</v>
      </c>
      <c r="Q563" s="42">
        <f t="shared" ref="Q563:Q626" si="10">INT(E563*R563)</f>
        <v>12474</v>
      </c>
      <c r="R563" s="48">
        <v>0.17</v>
      </c>
      <c r="S563" s="42" t="s">
        <v>281</v>
      </c>
    </row>
    <row r="564" spans="1:19">
      <c r="A564" s="45">
        <v>2015</v>
      </c>
      <c r="B564" s="45" t="s">
        <v>102</v>
      </c>
      <c r="C564" s="45" t="s">
        <v>44</v>
      </c>
      <c r="D564" s="45" t="s">
        <v>271</v>
      </c>
      <c r="E564" s="45">
        <v>49621</v>
      </c>
      <c r="F564" s="45"/>
      <c r="G564" s="45"/>
      <c r="H564" s="45">
        <v>6946</v>
      </c>
      <c r="Q564" s="42">
        <f t="shared" si="10"/>
        <v>8435</v>
      </c>
      <c r="R564" s="48">
        <v>0.17</v>
      </c>
      <c r="S564" s="42" t="s">
        <v>282</v>
      </c>
    </row>
    <row r="565" spans="1:19">
      <c r="A565" s="44">
        <v>2015</v>
      </c>
      <c r="B565" s="44" t="s">
        <v>102</v>
      </c>
      <c r="C565" s="44" t="s">
        <v>44</v>
      </c>
      <c r="D565" s="44" t="s">
        <v>272</v>
      </c>
      <c r="E565" s="44">
        <v>39559</v>
      </c>
      <c r="F565" s="44"/>
      <c r="G565" s="44"/>
      <c r="H565" s="44">
        <v>5538</v>
      </c>
    </row>
    <row r="566" spans="1:19">
      <c r="A566" s="45">
        <v>2015</v>
      </c>
      <c r="B566" s="45" t="s">
        <v>102</v>
      </c>
      <c r="C566" s="45" t="s">
        <v>44</v>
      </c>
      <c r="D566" s="45" t="s">
        <v>273</v>
      </c>
      <c r="E566" s="45">
        <v>34204</v>
      </c>
      <c r="F566" s="45"/>
      <c r="G566" s="45"/>
      <c r="H566" s="45">
        <v>4788</v>
      </c>
    </row>
    <row r="567" spans="1:19">
      <c r="A567" s="44">
        <v>2015</v>
      </c>
      <c r="B567" s="44" t="s">
        <v>102</v>
      </c>
      <c r="C567" s="44" t="s">
        <v>44</v>
      </c>
      <c r="D567" s="44" t="s">
        <v>274</v>
      </c>
      <c r="E567" s="44">
        <v>30212</v>
      </c>
      <c r="F567" s="44"/>
      <c r="G567" s="44"/>
      <c r="H567" s="44">
        <v>4229</v>
      </c>
      <c r="Q567" s="42">
        <f t="shared" si="10"/>
        <v>5136</v>
      </c>
      <c r="R567" s="48">
        <v>0.17</v>
      </c>
      <c r="S567" s="42" t="s">
        <v>267</v>
      </c>
    </row>
    <row r="568" spans="1:19">
      <c r="A568" s="45">
        <v>2015</v>
      </c>
      <c r="B568" s="45" t="s">
        <v>102</v>
      </c>
      <c r="C568" s="45" t="s">
        <v>44</v>
      </c>
      <c r="D568" s="45" t="s">
        <v>275</v>
      </c>
      <c r="E568" s="45">
        <v>21766</v>
      </c>
      <c r="F568" s="45"/>
      <c r="G568" s="45"/>
      <c r="H568" s="45">
        <v>3047</v>
      </c>
      <c r="Q568" s="42">
        <f t="shared" si="10"/>
        <v>3047</v>
      </c>
      <c r="R568" s="48">
        <v>0.14000000000000001</v>
      </c>
      <c r="S568" s="42" t="s">
        <v>268</v>
      </c>
    </row>
    <row r="569" spans="1:19">
      <c r="A569" s="44">
        <v>2015</v>
      </c>
      <c r="B569" s="44" t="s">
        <v>102</v>
      </c>
      <c r="C569" s="44" t="s">
        <v>44</v>
      </c>
      <c r="D569" s="44" t="s">
        <v>276</v>
      </c>
      <c r="E569" s="44">
        <v>16332</v>
      </c>
      <c r="F569" s="44"/>
      <c r="G569" s="44"/>
      <c r="H569" s="44">
        <v>2286</v>
      </c>
      <c r="Q569" s="42">
        <f t="shared" si="10"/>
        <v>2286</v>
      </c>
      <c r="R569" s="48">
        <v>0.14000000000000001</v>
      </c>
      <c r="S569" s="42" t="s">
        <v>269</v>
      </c>
    </row>
    <row r="570" spans="1:19">
      <c r="A570" s="45">
        <v>2015</v>
      </c>
      <c r="B570" s="45" t="s">
        <v>102</v>
      </c>
      <c r="C570" s="45" t="s">
        <v>44</v>
      </c>
      <c r="D570" s="45" t="s">
        <v>277</v>
      </c>
      <c r="E570" s="45">
        <v>12280</v>
      </c>
      <c r="F570" s="45"/>
      <c r="G570" s="45"/>
      <c r="H570" s="45">
        <v>1719</v>
      </c>
      <c r="Q570" s="42">
        <f t="shared" si="10"/>
        <v>1719</v>
      </c>
      <c r="R570" s="48">
        <v>0.14000000000000001</v>
      </c>
      <c r="S570" s="42" t="s">
        <v>254</v>
      </c>
    </row>
    <row r="571" spans="1:19">
      <c r="A571" s="44">
        <v>2015</v>
      </c>
      <c r="B571" s="44" t="s">
        <v>102</v>
      </c>
      <c r="C571" s="44" t="s">
        <v>44</v>
      </c>
      <c r="D571" s="44" t="s">
        <v>278</v>
      </c>
      <c r="E571" s="44">
        <v>8613</v>
      </c>
      <c r="F571" s="44"/>
      <c r="G571" s="44"/>
      <c r="H571" s="44">
        <v>1205</v>
      </c>
      <c r="Q571" s="42">
        <f t="shared" si="10"/>
        <v>1205</v>
      </c>
      <c r="R571" s="48">
        <v>0.14000000000000001</v>
      </c>
      <c r="S571" s="42" t="s">
        <v>270</v>
      </c>
    </row>
    <row r="572" spans="1:19">
      <c r="A572" s="45">
        <v>2015</v>
      </c>
      <c r="B572" s="45" t="s">
        <v>102</v>
      </c>
      <c r="C572" s="45" t="s">
        <v>44</v>
      </c>
      <c r="D572" s="45" t="s">
        <v>279</v>
      </c>
      <c r="E572" s="45">
        <v>7131</v>
      </c>
      <c r="F572" s="45"/>
      <c r="G572" s="45"/>
      <c r="H572" s="45">
        <v>998</v>
      </c>
      <c r="Q572" s="42">
        <f t="shared" si="10"/>
        <v>998</v>
      </c>
      <c r="R572" s="48">
        <v>0.14000000000000001</v>
      </c>
      <c r="S572" s="42" t="s">
        <v>271</v>
      </c>
    </row>
    <row r="573" spans="1:19">
      <c r="A573" s="44">
        <v>2015</v>
      </c>
      <c r="B573" s="44" t="s">
        <v>102</v>
      </c>
      <c r="C573" s="44" t="s">
        <v>44</v>
      </c>
      <c r="D573" s="44" t="s">
        <v>280</v>
      </c>
      <c r="E573" s="44">
        <v>5042</v>
      </c>
      <c r="F573" s="44"/>
      <c r="G573" s="44"/>
      <c r="H573" s="44">
        <v>705</v>
      </c>
      <c r="Q573" s="42">
        <f t="shared" si="10"/>
        <v>705</v>
      </c>
      <c r="R573" s="48">
        <v>0.14000000000000001</v>
      </c>
      <c r="S573" s="42" t="s">
        <v>272</v>
      </c>
    </row>
    <row r="574" spans="1:19">
      <c r="A574" s="45">
        <v>2015</v>
      </c>
      <c r="B574" s="45" t="s">
        <v>102</v>
      </c>
      <c r="C574" s="45" t="s">
        <v>44</v>
      </c>
      <c r="D574" s="45" t="s">
        <v>281</v>
      </c>
      <c r="E574" s="45">
        <v>3782</v>
      </c>
      <c r="F574" s="45"/>
      <c r="G574" s="45"/>
      <c r="H574" s="45">
        <v>642</v>
      </c>
      <c r="Q574" s="42">
        <f t="shared" si="10"/>
        <v>529</v>
      </c>
      <c r="R574" s="48">
        <v>0.14000000000000001</v>
      </c>
      <c r="S574" s="42" t="s">
        <v>273</v>
      </c>
    </row>
    <row r="575" spans="1:19">
      <c r="A575" s="44">
        <v>2015</v>
      </c>
      <c r="B575" s="44" t="s">
        <v>102</v>
      </c>
      <c r="C575" s="44" t="s">
        <v>44</v>
      </c>
      <c r="D575" s="44" t="s">
        <v>285</v>
      </c>
      <c r="E575" s="44">
        <v>4891</v>
      </c>
      <c r="F575" s="44"/>
      <c r="G575" s="44"/>
      <c r="H575" s="44">
        <v>831</v>
      </c>
      <c r="Q575" s="42">
        <f t="shared" si="10"/>
        <v>684</v>
      </c>
      <c r="R575" s="48">
        <v>0.14000000000000001</v>
      </c>
      <c r="S575" s="42" t="s">
        <v>274</v>
      </c>
    </row>
    <row r="576" spans="1:19">
      <c r="A576" s="45">
        <v>2015</v>
      </c>
      <c r="B576" s="45" t="s">
        <v>103</v>
      </c>
      <c r="C576" s="45" t="s">
        <v>44</v>
      </c>
      <c r="D576" s="45" t="s">
        <v>267</v>
      </c>
      <c r="E576" s="45">
        <v>194947</v>
      </c>
      <c r="F576" s="45"/>
      <c r="G576" s="45"/>
      <c r="H576" s="45">
        <v>33140</v>
      </c>
      <c r="Q576" s="42">
        <f t="shared" si="10"/>
        <v>27292</v>
      </c>
      <c r="R576" s="48">
        <v>0.14000000000000001</v>
      </c>
      <c r="S576" s="42" t="s">
        <v>275</v>
      </c>
    </row>
    <row r="577" spans="1:19">
      <c r="A577" s="44">
        <v>2015</v>
      </c>
      <c r="B577" s="44" t="s">
        <v>103</v>
      </c>
      <c r="C577" s="44" t="s">
        <v>44</v>
      </c>
      <c r="D577" s="44" t="s">
        <v>268</v>
      </c>
      <c r="E577" s="44">
        <v>171493</v>
      </c>
      <c r="F577" s="44"/>
      <c r="G577" s="44"/>
      <c r="H577" s="44">
        <v>24009</v>
      </c>
      <c r="Q577" s="42">
        <f t="shared" si="10"/>
        <v>24009</v>
      </c>
      <c r="R577" s="48">
        <v>0.14000000000000001</v>
      </c>
      <c r="S577" s="42" t="s">
        <v>276</v>
      </c>
    </row>
    <row r="578" spans="1:19">
      <c r="A578" s="45">
        <v>2015</v>
      </c>
      <c r="B578" s="45" t="s">
        <v>103</v>
      </c>
      <c r="C578" s="45" t="s">
        <v>44</v>
      </c>
      <c r="D578" s="45" t="s">
        <v>269</v>
      </c>
      <c r="E578" s="45">
        <v>157078</v>
      </c>
      <c r="F578" s="45"/>
      <c r="G578" s="45"/>
      <c r="H578" s="45">
        <v>21990</v>
      </c>
      <c r="Q578" s="42">
        <f t="shared" si="10"/>
        <v>21990</v>
      </c>
      <c r="R578" s="48">
        <v>0.14000000000000001</v>
      </c>
      <c r="S578" s="42" t="s">
        <v>277</v>
      </c>
    </row>
    <row r="579" spans="1:19">
      <c r="A579" s="44">
        <v>2015</v>
      </c>
      <c r="B579" s="44" t="s">
        <v>103</v>
      </c>
      <c r="C579" s="44" t="s">
        <v>44</v>
      </c>
      <c r="D579" s="44" t="s">
        <v>254</v>
      </c>
      <c r="E579" s="44">
        <v>127218</v>
      </c>
      <c r="F579" s="44"/>
      <c r="G579" s="44"/>
      <c r="H579" s="44">
        <v>17810</v>
      </c>
      <c r="Q579" s="42">
        <f t="shared" si="10"/>
        <v>17810</v>
      </c>
      <c r="R579" s="48">
        <v>0.14000000000000001</v>
      </c>
      <c r="S579" s="42" t="s">
        <v>278</v>
      </c>
    </row>
    <row r="580" spans="1:19">
      <c r="A580" s="45">
        <v>2015</v>
      </c>
      <c r="B580" s="45" t="s">
        <v>103</v>
      </c>
      <c r="C580" s="45" t="s">
        <v>44</v>
      </c>
      <c r="D580" s="45" t="s">
        <v>270</v>
      </c>
      <c r="E580" s="45">
        <v>120462</v>
      </c>
      <c r="F580" s="45"/>
      <c r="G580" s="45"/>
      <c r="H580" s="45">
        <v>16864</v>
      </c>
      <c r="Q580" s="42">
        <f t="shared" si="10"/>
        <v>16864</v>
      </c>
      <c r="R580" s="48">
        <v>0.14000000000000001</v>
      </c>
      <c r="S580" s="42" t="s">
        <v>279</v>
      </c>
    </row>
    <row r="581" spans="1:19">
      <c r="A581" s="44">
        <v>2015</v>
      </c>
      <c r="B581" s="44" t="s">
        <v>103</v>
      </c>
      <c r="C581" s="44" t="s">
        <v>44</v>
      </c>
      <c r="D581" s="44" t="s">
        <v>271</v>
      </c>
      <c r="E581" s="44">
        <v>86599</v>
      </c>
      <c r="F581" s="44"/>
      <c r="G581" s="44"/>
      <c r="H581" s="44">
        <v>12123</v>
      </c>
      <c r="Q581" s="42">
        <f t="shared" si="10"/>
        <v>12123</v>
      </c>
      <c r="R581" s="48">
        <v>0.14000000000000001</v>
      </c>
      <c r="S581" s="42" t="s">
        <v>280</v>
      </c>
    </row>
    <row r="582" spans="1:19">
      <c r="A582" s="45">
        <v>2015</v>
      </c>
      <c r="B582" s="45" t="s">
        <v>103</v>
      </c>
      <c r="C582" s="45" t="s">
        <v>44</v>
      </c>
      <c r="D582" s="45" t="s">
        <v>272</v>
      </c>
      <c r="E582" s="45">
        <v>76073</v>
      </c>
      <c r="F582" s="45"/>
      <c r="G582" s="45"/>
      <c r="H582" s="45">
        <v>10650</v>
      </c>
      <c r="Q582" s="42">
        <f t="shared" si="10"/>
        <v>12932</v>
      </c>
      <c r="R582" s="48">
        <v>0.17</v>
      </c>
      <c r="S582" s="42" t="s">
        <v>281</v>
      </c>
    </row>
    <row r="583" spans="1:19">
      <c r="A583" s="44">
        <v>2015</v>
      </c>
      <c r="B583" s="44" t="s">
        <v>103</v>
      </c>
      <c r="C583" s="44" t="s">
        <v>44</v>
      </c>
      <c r="D583" s="44" t="s">
        <v>273</v>
      </c>
      <c r="E583" s="44">
        <v>63006</v>
      </c>
      <c r="F583" s="44"/>
      <c r="G583" s="44"/>
      <c r="H583" s="44">
        <v>8820</v>
      </c>
      <c r="Q583" s="42">
        <f t="shared" si="10"/>
        <v>10711</v>
      </c>
      <c r="R583" s="48">
        <v>0.17</v>
      </c>
      <c r="S583" s="42" t="s">
        <v>282</v>
      </c>
    </row>
    <row r="584" spans="1:19">
      <c r="A584" s="45">
        <v>2015</v>
      </c>
      <c r="B584" s="45" t="s">
        <v>103</v>
      </c>
      <c r="C584" s="45" t="s">
        <v>44</v>
      </c>
      <c r="D584" s="45" t="s">
        <v>274</v>
      </c>
      <c r="E584" s="45">
        <v>51419</v>
      </c>
      <c r="F584" s="45"/>
      <c r="G584" s="45"/>
      <c r="H584" s="45">
        <v>7198</v>
      </c>
    </row>
    <row r="585" spans="1:19">
      <c r="A585" s="44">
        <v>2015</v>
      </c>
      <c r="B585" s="44" t="s">
        <v>103</v>
      </c>
      <c r="C585" s="44" t="s">
        <v>44</v>
      </c>
      <c r="D585" s="44" t="s">
        <v>275</v>
      </c>
      <c r="E585" s="44">
        <v>36597</v>
      </c>
      <c r="F585" s="44"/>
      <c r="G585" s="44"/>
      <c r="H585" s="44">
        <v>5123</v>
      </c>
    </row>
    <row r="586" spans="1:19">
      <c r="A586" s="45">
        <v>2015</v>
      </c>
      <c r="B586" s="45" t="s">
        <v>103</v>
      </c>
      <c r="C586" s="45" t="s">
        <v>44</v>
      </c>
      <c r="D586" s="45" t="s">
        <v>276</v>
      </c>
      <c r="E586" s="45">
        <v>27969</v>
      </c>
      <c r="F586" s="45"/>
      <c r="G586" s="45"/>
      <c r="H586" s="45">
        <v>3915</v>
      </c>
      <c r="Q586" s="42">
        <f t="shared" si="10"/>
        <v>4754</v>
      </c>
      <c r="R586" s="48">
        <v>0.17</v>
      </c>
      <c r="S586" s="42" t="s">
        <v>267</v>
      </c>
    </row>
    <row r="587" spans="1:19">
      <c r="A587" s="44">
        <v>2015</v>
      </c>
      <c r="B587" s="44" t="s">
        <v>103</v>
      </c>
      <c r="C587" s="44" t="s">
        <v>44</v>
      </c>
      <c r="D587" s="44" t="s">
        <v>277</v>
      </c>
      <c r="E587" s="44">
        <v>21847</v>
      </c>
      <c r="F587" s="44"/>
      <c r="G587" s="44"/>
      <c r="H587" s="44">
        <v>3058</v>
      </c>
      <c r="Q587" s="42">
        <f t="shared" si="10"/>
        <v>3058</v>
      </c>
      <c r="R587" s="48">
        <v>0.14000000000000001</v>
      </c>
      <c r="S587" s="42" t="s">
        <v>268</v>
      </c>
    </row>
    <row r="588" spans="1:19">
      <c r="A588" s="45">
        <v>2015</v>
      </c>
      <c r="B588" s="45" t="s">
        <v>103</v>
      </c>
      <c r="C588" s="45" t="s">
        <v>44</v>
      </c>
      <c r="D588" s="45" t="s">
        <v>278</v>
      </c>
      <c r="E588" s="45">
        <v>16207</v>
      </c>
      <c r="F588" s="45"/>
      <c r="G588" s="45"/>
      <c r="H588" s="45">
        <v>2268</v>
      </c>
      <c r="Q588" s="42">
        <f t="shared" si="10"/>
        <v>2268</v>
      </c>
      <c r="R588" s="48">
        <v>0.14000000000000001</v>
      </c>
      <c r="S588" s="42" t="s">
        <v>269</v>
      </c>
    </row>
    <row r="589" spans="1:19">
      <c r="A589" s="44">
        <v>2015</v>
      </c>
      <c r="B589" s="44" t="s">
        <v>103</v>
      </c>
      <c r="C589" s="44" t="s">
        <v>44</v>
      </c>
      <c r="D589" s="44" t="s">
        <v>279</v>
      </c>
      <c r="E589" s="44">
        <v>11927</v>
      </c>
      <c r="F589" s="44"/>
      <c r="G589" s="44"/>
      <c r="H589" s="44">
        <v>1669</v>
      </c>
      <c r="Q589" s="42">
        <f t="shared" si="10"/>
        <v>1669</v>
      </c>
      <c r="R589" s="48">
        <v>0.14000000000000001</v>
      </c>
      <c r="S589" s="42" t="s">
        <v>254</v>
      </c>
    </row>
    <row r="590" spans="1:19">
      <c r="A590" s="45">
        <v>2015</v>
      </c>
      <c r="B590" s="45" t="s">
        <v>103</v>
      </c>
      <c r="C590" s="45" t="s">
        <v>44</v>
      </c>
      <c r="D590" s="45" t="s">
        <v>280</v>
      </c>
      <c r="E590" s="45">
        <v>7388</v>
      </c>
      <c r="F590" s="45"/>
      <c r="G590" s="45"/>
      <c r="H590" s="45">
        <v>1034</v>
      </c>
      <c r="Q590" s="42">
        <f t="shared" si="10"/>
        <v>1034</v>
      </c>
      <c r="R590" s="48">
        <v>0.14000000000000001</v>
      </c>
      <c r="S590" s="42" t="s">
        <v>270</v>
      </c>
    </row>
    <row r="591" spans="1:19">
      <c r="A591" s="44">
        <v>2015</v>
      </c>
      <c r="B591" s="44" t="s">
        <v>103</v>
      </c>
      <c r="C591" s="44" t="s">
        <v>44</v>
      </c>
      <c r="D591" s="44" t="s">
        <v>281</v>
      </c>
      <c r="E591" s="44">
        <v>4786</v>
      </c>
      <c r="F591" s="44"/>
      <c r="G591" s="44"/>
      <c r="H591" s="44">
        <v>813</v>
      </c>
      <c r="Q591" s="42">
        <f t="shared" si="10"/>
        <v>670</v>
      </c>
      <c r="R591" s="48">
        <v>0.14000000000000001</v>
      </c>
      <c r="S591" s="42" t="s">
        <v>271</v>
      </c>
    </row>
    <row r="592" spans="1:19">
      <c r="A592" s="45">
        <v>2015</v>
      </c>
      <c r="B592" s="45" t="s">
        <v>103</v>
      </c>
      <c r="C592" s="45" t="s">
        <v>44</v>
      </c>
      <c r="D592" s="45" t="s">
        <v>285</v>
      </c>
      <c r="E592" s="45">
        <v>4724</v>
      </c>
      <c r="F592" s="45"/>
      <c r="G592" s="45"/>
      <c r="H592" s="45">
        <v>803</v>
      </c>
      <c r="Q592" s="42">
        <f t="shared" si="10"/>
        <v>661</v>
      </c>
      <c r="R592" s="48">
        <v>0.14000000000000001</v>
      </c>
      <c r="S592" s="42" t="s">
        <v>272</v>
      </c>
    </row>
    <row r="593" spans="1:19">
      <c r="A593" s="44">
        <v>2015</v>
      </c>
      <c r="B593" s="44" t="s">
        <v>104</v>
      </c>
      <c r="C593" s="44" t="s">
        <v>44</v>
      </c>
      <c r="D593" s="44" t="s">
        <v>267</v>
      </c>
      <c r="E593" s="44">
        <v>172072</v>
      </c>
      <c r="F593" s="44"/>
      <c r="G593" s="44"/>
      <c r="H593" s="44">
        <v>29252</v>
      </c>
      <c r="Q593" s="42">
        <f t="shared" si="10"/>
        <v>24090</v>
      </c>
      <c r="R593" s="48">
        <v>0.14000000000000001</v>
      </c>
      <c r="S593" s="42" t="s">
        <v>273</v>
      </c>
    </row>
    <row r="594" spans="1:19">
      <c r="A594" s="45">
        <v>2015</v>
      </c>
      <c r="B594" s="45" t="s">
        <v>104</v>
      </c>
      <c r="C594" s="45" t="s">
        <v>44</v>
      </c>
      <c r="D594" s="45" t="s">
        <v>268</v>
      </c>
      <c r="E594" s="45">
        <v>138183</v>
      </c>
      <c r="F594" s="45"/>
      <c r="G594" s="45"/>
      <c r="H594" s="45">
        <v>19345</v>
      </c>
      <c r="Q594" s="42">
        <f t="shared" si="10"/>
        <v>19345</v>
      </c>
      <c r="R594" s="48">
        <v>0.14000000000000001</v>
      </c>
      <c r="S594" s="42" t="s">
        <v>274</v>
      </c>
    </row>
    <row r="595" spans="1:19">
      <c r="A595" s="44">
        <v>2015</v>
      </c>
      <c r="B595" s="44" t="s">
        <v>104</v>
      </c>
      <c r="C595" s="44" t="s">
        <v>44</v>
      </c>
      <c r="D595" s="44" t="s">
        <v>269</v>
      </c>
      <c r="E595" s="44">
        <v>112384</v>
      </c>
      <c r="F595" s="44"/>
      <c r="G595" s="44"/>
      <c r="H595" s="44">
        <v>15733</v>
      </c>
      <c r="Q595" s="42">
        <f t="shared" si="10"/>
        <v>15733</v>
      </c>
      <c r="R595" s="48">
        <v>0.14000000000000001</v>
      </c>
      <c r="S595" s="42" t="s">
        <v>275</v>
      </c>
    </row>
    <row r="596" spans="1:19">
      <c r="A596" s="45">
        <v>2015</v>
      </c>
      <c r="B596" s="45" t="s">
        <v>104</v>
      </c>
      <c r="C596" s="45" t="s">
        <v>44</v>
      </c>
      <c r="D596" s="45" t="s">
        <v>254</v>
      </c>
      <c r="E596" s="45">
        <v>106243</v>
      </c>
      <c r="F596" s="45"/>
      <c r="G596" s="45"/>
      <c r="H596" s="45">
        <v>14874</v>
      </c>
      <c r="Q596" s="42">
        <f t="shared" si="10"/>
        <v>14874</v>
      </c>
      <c r="R596" s="48">
        <v>0.14000000000000001</v>
      </c>
      <c r="S596" s="42" t="s">
        <v>276</v>
      </c>
    </row>
    <row r="597" spans="1:19">
      <c r="A597" s="44">
        <v>2015</v>
      </c>
      <c r="B597" s="44" t="s">
        <v>104</v>
      </c>
      <c r="C597" s="44" t="s">
        <v>44</v>
      </c>
      <c r="D597" s="44" t="s">
        <v>270</v>
      </c>
      <c r="E597" s="44">
        <v>84778</v>
      </c>
      <c r="F597" s="44"/>
      <c r="G597" s="44"/>
      <c r="H597" s="44">
        <v>11868</v>
      </c>
      <c r="Q597" s="42">
        <f t="shared" si="10"/>
        <v>11868</v>
      </c>
      <c r="R597" s="48">
        <v>0.14000000000000001</v>
      </c>
      <c r="S597" s="42" t="s">
        <v>277</v>
      </c>
    </row>
    <row r="598" spans="1:19">
      <c r="A598" s="45">
        <v>2015</v>
      </c>
      <c r="B598" s="45" t="s">
        <v>104</v>
      </c>
      <c r="C598" s="45" t="s">
        <v>44</v>
      </c>
      <c r="D598" s="45" t="s">
        <v>271</v>
      </c>
      <c r="E598" s="45">
        <v>59635</v>
      </c>
      <c r="F598" s="45"/>
      <c r="G598" s="45"/>
      <c r="H598" s="45">
        <v>8348</v>
      </c>
      <c r="Q598" s="42">
        <f t="shared" si="10"/>
        <v>8348</v>
      </c>
      <c r="R598" s="48">
        <v>0.14000000000000001</v>
      </c>
      <c r="S598" s="42" t="s">
        <v>278</v>
      </c>
    </row>
    <row r="599" spans="1:19">
      <c r="A599" s="44">
        <v>2015</v>
      </c>
      <c r="B599" s="44" t="s">
        <v>104</v>
      </c>
      <c r="C599" s="44" t="s">
        <v>44</v>
      </c>
      <c r="D599" s="44" t="s">
        <v>272</v>
      </c>
      <c r="E599" s="44">
        <v>50935</v>
      </c>
      <c r="F599" s="44"/>
      <c r="G599" s="44"/>
      <c r="H599" s="44">
        <v>7130</v>
      </c>
      <c r="Q599" s="42">
        <f t="shared" si="10"/>
        <v>7130</v>
      </c>
      <c r="R599" s="48">
        <v>0.14000000000000001</v>
      </c>
      <c r="S599" s="42" t="s">
        <v>279</v>
      </c>
    </row>
    <row r="600" spans="1:19">
      <c r="A600" s="45">
        <v>2015</v>
      </c>
      <c r="B600" s="45" t="s">
        <v>104</v>
      </c>
      <c r="C600" s="45" t="s">
        <v>44</v>
      </c>
      <c r="D600" s="45" t="s">
        <v>273</v>
      </c>
      <c r="E600" s="45">
        <v>42284</v>
      </c>
      <c r="F600" s="45"/>
      <c r="G600" s="45"/>
      <c r="H600" s="45">
        <v>5919</v>
      </c>
      <c r="Q600" s="42">
        <f t="shared" si="10"/>
        <v>5919</v>
      </c>
      <c r="R600" s="48">
        <v>0.14000000000000001</v>
      </c>
      <c r="S600" s="42" t="s">
        <v>280</v>
      </c>
    </row>
    <row r="601" spans="1:19">
      <c r="A601" s="44">
        <v>2015</v>
      </c>
      <c r="B601" s="44" t="s">
        <v>104</v>
      </c>
      <c r="C601" s="44" t="s">
        <v>44</v>
      </c>
      <c r="D601" s="44" t="s">
        <v>274</v>
      </c>
      <c r="E601" s="44">
        <v>36428</v>
      </c>
      <c r="F601" s="44"/>
      <c r="G601" s="44"/>
      <c r="H601" s="44">
        <v>5099</v>
      </c>
      <c r="Q601" s="42">
        <f t="shared" si="10"/>
        <v>6192</v>
      </c>
      <c r="R601" s="48">
        <v>0.17</v>
      </c>
      <c r="S601" s="42" t="s">
        <v>281</v>
      </c>
    </row>
    <row r="602" spans="1:19">
      <c r="A602" s="45">
        <v>2015</v>
      </c>
      <c r="B602" s="45" t="s">
        <v>104</v>
      </c>
      <c r="C602" s="45" t="s">
        <v>44</v>
      </c>
      <c r="D602" s="45" t="s">
        <v>275</v>
      </c>
      <c r="E602" s="45">
        <v>25390</v>
      </c>
      <c r="F602" s="45"/>
      <c r="G602" s="45"/>
      <c r="H602" s="45">
        <v>3554</v>
      </c>
      <c r="Q602" s="42">
        <f t="shared" si="10"/>
        <v>4316</v>
      </c>
      <c r="R602" s="48">
        <v>0.17</v>
      </c>
      <c r="S602" s="42" t="s">
        <v>282</v>
      </c>
    </row>
    <row r="603" spans="1:19">
      <c r="A603" s="44">
        <v>2015</v>
      </c>
      <c r="B603" s="44" t="s">
        <v>104</v>
      </c>
      <c r="C603" s="44" t="s">
        <v>44</v>
      </c>
      <c r="D603" s="44" t="s">
        <v>276</v>
      </c>
      <c r="E603" s="44">
        <v>20285</v>
      </c>
      <c r="F603" s="44"/>
      <c r="G603" s="44"/>
      <c r="H603" s="44">
        <v>2839</v>
      </c>
    </row>
    <row r="604" spans="1:19">
      <c r="A604" s="45">
        <v>2015</v>
      </c>
      <c r="B604" s="45" t="s">
        <v>104</v>
      </c>
      <c r="C604" s="45" t="s">
        <v>44</v>
      </c>
      <c r="D604" s="45" t="s">
        <v>277</v>
      </c>
      <c r="E604" s="45">
        <v>14406</v>
      </c>
      <c r="F604" s="45"/>
      <c r="G604" s="45"/>
      <c r="H604" s="45">
        <v>2016</v>
      </c>
      <c r="Q604" s="42">
        <f t="shared" si="10"/>
        <v>2449</v>
      </c>
      <c r="R604" s="48">
        <v>0.17</v>
      </c>
      <c r="S604" s="42" t="s">
        <v>267</v>
      </c>
    </row>
    <row r="605" spans="1:19">
      <c r="A605" s="44">
        <v>2015</v>
      </c>
      <c r="B605" s="44" t="s">
        <v>104</v>
      </c>
      <c r="C605" s="44" t="s">
        <v>44</v>
      </c>
      <c r="D605" s="44" t="s">
        <v>278</v>
      </c>
      <c r="E605" s="44">
        <v>9987</v>
      </c>
      <c r="F605" s="44"/>
      <c r="G605" s="44"/>
      <c r="H605" s="44">
        <v>1398</v>
      </c>
      <c r="Q605" s="42">
        <f t="shared" si="10"/>
        <v>1398</v>
      </c>
      <c r="R605" s="48">
        <v>0.14000000000000001</v>
      </c>
      <c r="S605" s="42" t="s">
        <v>268</v>
      </c>
    </row>
    <row r="606" spans="1:19">
      <c r="A606" s="45">
        <v>2015</v>
      </c>
      <c r="B606" s="45" t="s">
        <v>104</v>
      </c>
      <c r="C606" s="45" t="s">
        <v>44</v>
      </c>
      <c r="D606" s="45" t="s">
        <v>279</v>
      </c>
      <c r="E606" s="45">
        <v>8274</v>
      </c>
      <c r="F606" s="45"/>
      <c r="G606" s="45"/>
      <c r="H606" s="45">
        <v>1158</v>
      </c>
      <c r="Q606" s="42">
        <f t="shared" si="10"/>
        <v>1158</v>
      </c>
      <c r="R606" s="48">
        <v>0.14000000000000001</v>
      </c>
      <c r="S606" s="42" t="s">
        <v>269</v>
      </c>
    </row>
    <row r="607" spans="1:19">
      <c r="A607" s="44">
        <v>2015</v>
      </c>
      <c r="B607" s="44" t="s">
        <v>104</v>
      </c>
      <c r="C607" s="44" t="s">
        <v>44</v>
      </c>
      <c r="D607" s="44" t="s">
        <v>280</v>
      </c>
      <c r="E607" s="44">
        <v>5847</v>
      </c>
      <c r="F607" s="44"/>
      <c r="G607" s="44"/>
      <c r="H607" s="44">
        <v>818</v>
      </c>
      <c r="Q607" s="42">
        <f t="shared" si="10"/>
        <v>818</v>
      </c>
      <c r="R607" s="48">
        <v>0.14000000000000001</v>
      </c>
      <c r="S607" s="42" t="s">
        <v>254</v>
      </c>
    </row>
    <row r="608" spans="1:19">
      <c r="A608" s="45">
        <v>2015</v>
      </c>
      <c r="B608" s="45" t="s">
        <v>104</v>
      </c>
      <c r="C608" s="45" t="s">
        <v>44</v>
      </c>
      <c r="D608" s="45" t="s">
        <v>281</v>
      </c>
      <c r="E608" s="45">
        <v>4425</v>
      </c>
      <c r="F608" s="45"/>
      <c r="G608" s="45"/>
      <c r="H608" s="45">
        <v>752</v>
      </c>
      <c r="Q608" s="42">
        <f t="shared" si="10"/>
        <v>619</v>
      </c>
      <c r="R608" s="48">
        <v>0.14000000000000001</v>
      </c>
      <c r="S608" s="42" t="s">
        <v>270</v>
      </c>
    </row>
    <row r="609" spans="1:19">
      <c r="A609" s="44">
        <v>2015</v>
      </c>
      <c r="B609" s="44" t="s">
        <v>104</v>
      </c>
      <c r="C609" s="44" t="s">
        <v>44</v>
      </c>
      <c r="D609" s="44" t="s">
        <v>285</v>
      </c>
      <c r="E609" s="44">
        <v>6285</v>
      </c>
      <c r="F609" s="44"/>
      <c r="G609" s="44"/>
      <c r="H609" s="44">
        <v>1068</v>
      </c>
      <c r="Q609" s="42">
        <f t="shared" si="10"/>
        <v>879</v>
      </c>
      <c r="R609" s="48">
        <v>0.14000000000000001</v>
      </c>
      <c r="S609" s="42" t="s">
        <v>271</v>
      </c>
    </row>
    <row r="610" spans="1:19">
      <c r="A610" s="45">
        <v>2015</v>
      </c>
      <c r="B610" s="45" t="s">
        <v>105</v>
      </c>
      <c r="C610" s="45" t="s">
        <v>44</v>
      </c>
      <c r="D610" s="45" t="s">
        <v>267</v>
      </c>
      <c r="E610" s="45">
        <v>112463</v>
      </c>
      <c r="F610" s="45"/>
      <c r="G610" s="45"/>
      <c r="H610" s="45">
        <v>19118</v>
      </c>
      <c r="Q610" s="42">
        <f t="shared" si="10"/>
        <v>15744</v>
      </c>
      <c r="R610" s="48">
        <v>0.14000000000000001</v>
      </c>
      <c r="S610" s="42" t="s">
        <v>272</v>
      </c>
    </row>
    <row r="611" spans="1:19">
      <c r="A611" s="44">
        <v>2015</v>
      </c>
      <c r="B611" s="44" t="s">
        <v>105</v>
      </c>
      <c r="C611" s="44" t="s">
        <v>44</v>
      </c>
      <c r="D611" s="44" t="s">
        <v>268</v>
      </c>
      <c r="E611" s="44">
        <v>89498</v>
      </c>
      <c r="F611" s="44"/>
      <c r="G611" s="44"/>
      <c r="H611" s="44">
        <v>12529</v>
      </c>
      <c r="Q611" s="42">
        <f t="shared" si="10"/>
        <v>12529</v>
      </c>
      <c r="R611" s="48">
        <v>0.14000000000000001</v>
      </c>
      <c r="S611" s="42" t="s">
        <v>273</v>
      </c>
    </row>
    <row r="612" spans="1:19">
      <c r="A612" s="45">
        <v>2015</v>
      </c>
      <c r="B612" s="45" t="s">
        <v>105</v>
      </c>
      <c r="C612" s="45" t="s">
        <v>44</v>
      </c>
      <c r="D612" s="45" t="s">
        <v>269</v>
      </c>
      <c r="E612" s="45">
        <v>67798</v>
      </c>
      <c r="F612" s="45"/>
      <c r="G612" s="45"/>
      <c r="H612" s="45">
        <v>9491</v>
      </c>
      <c r="Q612" s="42">
        <f t="shared" si="10"/>
        <v>9491</v>
      </c>
      <c r="R612" s="48">
        <v>0.14000000000000001</v>
      </c>
      <c r="S612" s="42" t="s">
        <v>274</v>
      </c>
    </row>
    <row r="613" spans="1:19">
      <c r="A613" s="44">
        <v>2015</v>
      </c>
      <c r="B613" s="44" t="s">
        <v>105</v>
      </c>
      <c r="C613" s="44" t="s">
        <v>44</v>
      </c>
      <c r="D613" s="44" t="s">
        <v>254</v>
      </c>
      <c r="E613" s="44">
        <v>64192</v>
      </c>
      <c r="F613" s="44"/>
      <c r="G613" s="44"/>
      <c r="H613" s="44">
        <v>8986</v>
      </c>
      <c r="Q613" s="42">
        <f t="shared" si="10"/>
        <v>8986</v>
      </c>
      <c r="R613" s="48">
        <v>0.14000000000000001</v>
      </c>
      <c r="S613" s="42" t="s">
        <v>275</v>
      </c>
    </row>
    <row r="614" spans="1:19">
      <c r="A614" s="45">
        <v>2015</v>
      </c>
      <c r="B614" s="45" t="s">
        <v>105</v>
      </c>
      <c r="C614" s="45" t="s">
        <v>44</v>
      </c>
      <c r="D614" s="45" t="s">
        <v>270</v>
      </c>
      <c r="E614" s="45">
        <v>47692</v>
      </c>
      <c r="F614" s="45"/>
      <c r="G614" s="45"/>
      <c r="H614" s="45">
        <v>6676</v>
      </c>
      <c r="Q614" s="42">
        <f t="shared" si="10"/>
        <v>6676</v>
      </c>
      <c r="R614" s="48">
        <v>0.14000000000000001</v>
      </c>
      <c r="S614" s="42" t="s">
        <v>276</v>
      </c>
    </row>
    <row r="615" spans="1:19">
      <c r="A615" s="44">
        <v>2015</v>
      </c>
      <c r="B615" s="44" t="s">
        <v>105</v>
      </c>
      <c r="C615" s="44" t="s">
        <v>44</v>
      </c>
      <c r="D615" s="44" t="s">
        <v>271</v>
      </c>
      <c r="E615" s="44">
        <v>29990</v>
      </c>
      <c r="F615" s="44"/>
      <c r="G615" s="44"/>
      <c r="H615" s="44">
        <v>4198</v>
      </c>
      <c r="Q615" s="42">
        <f t="shared" si="10"/>
        <v>4198</v>
      </c>
      <c r="R615" s="48">
        <v>0.14000000000000001</v>
      </c>
      <c r="S615" s="42" t="s">
        <v>277</v>
      </c>
    </row>
    <row r="616" spans="1:19">
      <c r="A616" s="45">
        <v>2015</v>
      </c>
      <c r="B616" s="45" t="s">
        <v>105</v>
      </c>
      <c r="C616" s="45" t="s">
        <v>44</v>
      </c>
      <c r="D616" s="45" t="s">
        <v>272</v>
      </c>
      <c r="E616" s="45">
        <v>28776</v>
      </c>
      <c r="F616" s="45"/>
      <c r="G616" s="45"/>
      <c r="H616" s="45">
        <v>4028</v>
      </c>
      <c r="Q616" s="42">
        <f t="shared" si="10"/>
        <v>4028</v>
      </c>
      <c r="R616" s="48">
        <v>0.14000000000000001</v>
      </c>
      <c r="S616" s="42" t="s">
        <v>278</v>
      </c>
    </row>
    <row r="617" spans="1:19">
      <c r="A617" s="44">
        <v>2015</v>
      </c>
      <c r="B617" s="44" t="s">
        <v>105</v>
      </c>
      <c r="C617" s="44" t="s">
        <v>44</v>
      </c>
      <c r="D617" s="44" t="s">
        <v>273</v>
      </c>
      <c r="E617" s="44">
        <v>26672</v>
      </c>
      <c r="F617" s="44"/>
      <c r="G617" s="44"/>
      <c r="H617" s="44">
        <v>3734</v>
      </c>
      <c r="Q617" s="42">
        <f t="shared" si="10"/>
        <v>3734</v>
      </c>
      <c r="R617" s="48">
        <v>0.14000000000000001</v>
      </c>
      <c r="S617" s="42" t="s">
        <v>279</v>
      </c>
    </row>
    <row r="618" spans="1:19">
      <c r="A618" s="45">
        <v>2015</v>
      </c>
      <c r="B618" s="45" t="s">
        <v>105</v>
      </c>
      <c r="C618" s="45" t="s">
        <v>44</v>
      </c>
      <c r="D618" s="45" t="s">
        <v>274</v>
      </c>
      <c r="E618" s="45">
        <v>22990</v>
      </c>
      <c r="F618" s="45"/>
      <c r="G618" s="45"/>
      <c r="H618" s="45">
        <v>3218</v>
      </c>
      <c r="Q618" s="42">
        <f t="shared" si="10"/>
        <v>3218</v>
      </c>
      <c r="R618" s="48">
        <v>0.14000000000000001</v>
      </c>
      <c r="S618" s="42" t="s">
        <v>280</v>
      </c>
    </row>
    <row r="619" spans="1:19">
      <c r="A619" s="44">
        <v>2015</v>
      </c>
      <c r="B619" s="44" t="s">
        <v>105</v>
      </c>
      <c r="C619" s="44" t="s">
        <v>44</v>
      </c>
      <c r="D619" s="44" t="s">
        <v>275</v>
      </c>
      <c r="E619" s="44">
        <v>17754</v>
      </c>
      <c r="F619" s="44"/>
      <c r="G619" s="44"/>
      <c r="H619" s="44">
        <v>2485</v>
      </c>
      <c r="Q619" s="42">
        <f t="shared" si="10"/>
        <v>3018</v>
      </c>
      <c r="R619" s="48">
        <v>0.17</v>
      </c>
      <c r="S619" s="42" t="s">
        <v>281</v>
      </c>
    </row>
    <row r="620" spans="1:19">
      <c r="A620" s="45">
        <v>2015</v>
      </c>
      <c r="B620" s="45" t="s">
        <v>105</v>
      </c>
      <c r="C620" s="45" t="s">
        <v>44</v>
      </c>
      <c r="D620" s="45" t="s">
        <v>276</v>
      </c>
      <c r="E620" s="45">
        <v>13853</v>
      </c>
      <c r="F620" s="45"/>
      <c r="G620" s="45"/>
      <c r="H620" s="45">
        <v>1939</v>
      </c>
      <c r="Q620" s="42">
        <f t="shared" si="10"/>
        <v>2355</v>
      </c>
      <c r="R620" s="48">
        <v>0.17</v>
      </c>
      <c r="S620" s="42" t="s">
        <v>282</v>
      </c>
    </row>
    <row r="621" spans="1:19">
      <c r="A621" s="44">
        <v>2015</v>
      </c>
      <c r="B621" s="44" t="s">
        <v>105</v>
      </c>
      <c r="C621" s="44" t="s">
        <v>44</v>
      </c>
      <c r="D621" s="44" t="s">
        <v>277</v>
      </c>
      <c r="E621" s="44">
        <v>10563</v>
      </c>
      <c r="F621" s="44"/>
      <c r="G621" s="44"/>
      <c r="H621" s="44">
        <v>1478</v>
      </c>
    </row>
    <row r="622" spans="1:19">
      <c r="A622" s="45">
        <v>2015</v>
      </c>
      <c r="B622" s="45" t="s">
        <v>105</v>
      </c>
      <c r="C622" s="45" t="s">
        <v>44</v>
      </c>
      <c r="D622" s="45" t="s">
        <v>278</v>
      </c>
      <c r="E622" s="45">
        <v>6731</v>
      </c>
      <c r="F622" s="45"/>
      <c r="G622" s="45"/>
      <c r="H622" s="45">
        <v>942</v>
      </c>
    </row>
    <row r="623" spans="1:19">
      <c r="A623" s="44">
        <v>2015</v>
      </c>
      <c r="B623" s="44" t="s">
        <v>105</v>
      </c>
      <c r="C623" s="44" t="s">
        <v>44</v>
      </c>
      <c r="D623" s="44" t="s">
        <v>279</v>
      </c>
      <c r="E623" s="44">
        <v>5702</v>
      </c>
      <c r="F623" s="44"/>
      <c r="G623" s="44"/>
      <c r="H623" s="44">
        <v>798</v>
      </c>
      <c r="Q623" s="42">
        <f t="shared" si="10"/>
        <v>969</v>
      </c>
      <c r="R623" s="48">
        <v>0.17</v>
      </c>
      <c r="S623" s="42" t="s">
        <v>267</v>
      </c>
    </row>
    <row r="624" spans="1:19">
      <c r="A624" s="45">
        <v>2015</v>
      </c>
      <c r="B624" s="45" t="s">
        <v>105</v>
      </c>
      <c r="C624" s="45" t="s">
        <v>44</v>
      </c>
      <c r="D624" s="45" t="s">
        <v>280</v>
      </c>
      <c r="E624" s="45">
        <v>3848</v>
      </c>
      <c r="F624" s="45"/>
      <c r="G624" s="45"/>
      <c r="H624" s="45">
        <v>538</v>
      </c>
      <c r="Q624" s="42">
        <f t="shared" si="10"/>
        <v>538</v>
      </c>
      <c r="R624" s="48">
        <v>0.14000000000000001</v>
      </c>
      <c r="S624" s="42" t="s">
        <v>268</v>
      </c>
    </row>
    <row r="625" spans="1:19">
      <c r="A625" s="44">
        <v>2015</v>
      </c>
      <c r="B625" s="44" t="s">
        <v>105</v>
      </c>
      <c r="C625" s="44" t="s">
        <v>44</v>
      </c>
      <c r="D625" s="44" t="s">
        <v>281</v>
      </c>
      <c r="E625" s="44">
        <v>2704</v>
      </c>
      <c r="F625" s="44"/>
      <c r="G625" s="44"/>
      <c r="H625" s="44">
        <v>459</v>
      </c>
      <c r="Q625" s="42">
        <f t="shared" si="10"/>
        <v>378</v>
      </c>
      <c r="R625" s="48">
        <v>0.14000000000000001</v>
      </c>
      <c r="S625" s="42" t="s">
        <v>269</v>
      </c>
    </row>
    <row r="626" spans="1:19">
      <c r="A626" s="45">
        <v>2015</v>
      </c>
      <c r="B626" s="45" t="s">
        <v>105</v>
      </c>
      <c r="C626" s="45" t="s">
        <v>44</v>
      </c>
      <c r="D626" s="45" t="s">
        <v>285</v>
      </c>
      <c r="E626" s="45">
        <v>2964</v>
      </c>
      <c r="F626" s="45"/>
      <c r="G626" s="45"/>
      <c r="H626" s="45">
        <v>503</v>
      </c>
      <c r="Q626" s="42">
        <f t="shared" si="10"/>
        <v>414</v>
      </c>
      <c r="R626" s="48">
        <v>0.14000000000000001</v>
      </c>
      <c r="S626" s="42" t="s">
        <v>254</v>
      </c>
    </row>
    <row r="627" spans="1:19">
      <c r="A627" s="44">
        <v>2015</v>
      </c>
      <c r="B627" s="44" t="s">
        <v>106</v>
      </c>
      <c r="C627" s="44" t="s">
        <v>44</v>
      </c>
      <c r="D627" s="44" t="s">
        <v>267</v>
      </c>
      <c r="E627" s="44">
        <v>233586</v>
      </c>
      <c r="F627" s="44"/>
      <c r="G627" s="44"/>
      <c r="H627" s="44">
        <v>39709</v>
      </c>
      <c r="Q627" s="42">
        <f t="shared" ref="Q627:Q690" si="11">INT(E627*R627)</f>
        <v>32702</v>
      </c>
      <c r="R627" s="48">
        <v>0.14000000000000001</v>
      </c>
      <c r="S627" s="42" t="s">
        <v>270</v>
      </c>
    </row>
    <row r="628" spans="1:19">
      <c r="A628" s="45">
        <v>2015</v>
      </c>
      <c r="B628" s="45" t="s">
        <v>106</v>
      </c>
      <c r="C628" s="45" t="s">
        <v>44</v>
      </c>
      <c r="D628" s="45" t="s">
        <v>268</v>
      </c>
      <c r="E628" s="45">
        <v>188110</v>
      </c>
      <c r="F628" s="45"/>
      <c r="G628" s="45"/>
      <c r="H628" s="45">
        <v>26335</v>
      </c>
      <c r="Q628" s="42">
        <f t="shared" si="11"/>
        <v>26335</v>
      </c>
      <c r="R628" s="48">
        <v>0.14000000000000001</v>
      </c>
      <c r="S628" s="42" t="s">
        <v>271</v>
      </c>
    </row>
    <row r="629" spans="1:19">
      <c r="A629" s="44">
        <v>2015</v>
      </c>
      <c r="B629" s="44" t="s">
        <v>106</v>
      </c>
      <c r="C629" s="44" t="s">
        <v>44</v>
      </c>
      <c r="D629" s="44" t="s">
        <v>269</v>
      </c>
      <c r="E629" s="44">
        <v>159577</v>
      </c>
      <c r="F629" s="44"/>
      <c r="G629" s="44"/>
      <c r="H629" s="44">
        <v>22340</v>
      </c>
      <c r="Q629" s="42">
        <f t="shared" si="11"/>
        <v>22340</v>
      </c>
      <c r="R629" s="48">
        <v>0.14000000000000001</v>
      </c>
      <c r="S629" s="42" t="s">
        <v>272</v>
      </c>
    </row>
    <row r="630" spans="1:19">
      <c r="A630" s="45">
        <v>2015</v>
      </c>
      <c r="B630" s="45" t="s">
        <v>106</v>
      </c>
      <c r="C630" s="45" t="s">
        <v>44</v>
      </c>
      <c r="D630" s="45" t="s">
        <v>254</v>
      </c>
      <c r="E630" s="45">
        <v>137000</v>
      </c>
      <c r="F630" s="45"/>
      <c r="G630" s="45"/>
      <c r="H630" s="45">
        <v>19180</v>
      </c>
      <c r="Q630" s="42">
        <f t="shared" si="11"/>
        <v>19180</v>
      </c>
      <c r="R630" s="48">
        <v>0.14000000000000001</v>
      </c>
      <c r="S630" s="42" t="s">
        <v>273</v>
      </c>
    </row>
    <row r="631" spans="1:19">
      <c r="A631" s="44">
        <v>2015</v>
      </c>
      <c r="B631" s="44" t="s">
        <v>106</v>
      </c>
      <c r="C631" s="44" t="s">
        <v>44</v>
      </c>
      <c r="D631" s="44" t="s">
        <v>270</v>
      </c>
      <c r="E631" s="44">
        <v>130766</v>
      </c>
      <c r="F631" s="44"/>
      <c r="G631" s="44"/>
      <c r="H631" s="44">
        <v>18307</v>
      </c>
      <c r="Q631" s="42">
        <f t="shared" si="11"/>
        <v>18307</v>
      </c>
      <c r="R631" s="48">
        <v>0.14000000000000001</v>
      </c>
      <c r="S631" s="42" t="s">
        <v>274</v>
      </c>
    </row>
    <row r="632" spans="1:19">
      <c r="A632" s="45">
        <v>2015</v>
      </c>
      <c r="B632" s="45" t="s">
        <v>106</v>
      </c>
      <c r="C632" s="45" t="s">
        <v>44</v>
      </c>
      <c r="D632" s="45" t="s">
        <v>271</v>
      </c>
      <c r="E632" s="45">
        <v>117787</v>
      </c>
      <c r="F632" s="45"/>
      <c r="G632" s="45"/>
      <c r="H632" s="45">
        <v>16490</v>
      </c>
      <c r="Q632" s="42">
        <f t="shared" si="11"/>
        <v>16490</v>
      </c>
      <c r="R632" s="48">
        <v>0.14000000000000001</v>
      </c>
      <c r="S632" s="42" t="s">
        <v>275</v>
      </c>
    </row>
    <row r="633" spans="1:19">
      <c r="A633" s="44">
        <v>2015</v>
      </c>
      <c r="B633" s="44" t="s">
        <v>106</v>
      </c>
      <c r="C633" s="44" t="s">
        <v>44</v>
      </c>
      <c r="D633" s="44" t="s">
        <v>272</v>
      </c>
      <c r="E633" s="44">
        <v>112835</v>
      </c>
      <c r="F633" s="44"/>
      <c r="G633" s="44"/>
      <c r="H633" s="44">
        <v>15796</v>
      </c>
      <c r="Q633" s="42">
        <f t="shared" si="11"/>
        <v>15796</v>
      </c>
      <c r="R633" s="48">
        <v>0.14000000000000001</v>
      </c>
      <c r="S633" s="42" t="s">
        <v>276</v>
      </c>
    </row>
    <row r="634" spans="1:19">
      <c r="A634" s="45">
        <v>2015</v>
      </c>
      <c r="B634" s="45" t="s">
        <v>106</v>
      </c>
      <c r="C634" s="45" t="s">
        <v>44</v>
      </c>
      <c r="D634" s="45" t="s">
        <v>273</v>
      </c>
      <c r="E634" s="45">
        <v>93294</v>
      </c>
      <c r="F634" s="45"/>
      <c r="G634" s="45"/>
      <c r="H634" s="45">
        <v>13061</v>
      </c>
      <c r="Q634" s="42">
        <f t="shared" si="11"/>
        <v>13061</v>
      </c>
      <c r="R634" s="48">
        <v>0.14000000000000001</v>
      </c>
      <c r="S634" s="42" t="s">
        <v>277</v>
      </c>
    </row>
    <row r="635" spans="1:19">
      <c r="A635" s="44">
        <v>2015</v>
      </c>
      <c r="B635" s="44" t="s">
        <v>106</v>
      </c>
      <c r="C635" s="44" t="s">
        <v>44</v>
      </c>
      <c r="D635" s="44" t="s">
        <v>274</v>
      </c>
      <c r="E635" s="44">
        <v>74369</v>
      </c>
      <c r="F635" s="44"/>
      <c r="G635" s="44"/>
      <c r="H635" s="44">
        <v>10411</v>
      </c>
      <c r="Q635" s="42">
        <f t="shared" si="11"/>
        <v>10411</v>
      </c>
      <c r="R635" s="48">
        <v>0.14000000000000001</v>
      </c>
      <c r="S635" s="42" t="s">
        <v>278</v>
      </c>
    </row>
    <row r="636" spans="1:19">
      <c r="A636" s="45">
        <v>2015</v>
      </c>
      <c r="B636" s="45" t="s">
        <v>106</v>
      </c>
      <c r="C636" s="45" t="s">
        <v>44</v>
      </c>
      <c r="D636" s="45" t="s">
        <v>275</v>
      </c>
      <c r="E636" s="45">
        <v>45746</v>
      </c>
      <c r="F636" s="45"/>
      <c r="G636" s="45"/>
      <c r="H636" s="45">
        <v>6404</v>
      </c>
      <c r="Q636" s="42">
        <f t="shared" si="11"/>
        <v>6404</v>
      </c>
      <c r="R636" s="48">
        <v>0.14000000000000001</v>
      </c>
      <c r="S636" s="42" t="s">
        <v>279</v>
      </c>
    </row>
    <row r="637" spans="1:19">
      <c r="A637" s="44">
        <v>2015</v>
      </c>
      <c r="B637" s="44" t="s">
        <v>106</v>
      </c>
      <c r="C637" s="44" t="s">
        <v>44</v>
      </c>
      <c r="D637" s="44" t="s">
        <v>276</v>
      </c>
      <c r="E637" s="44">
        <v>29423</v>
      </c>
      <c r="F637" s="44"/>
      <c r="G637" s="44"/>
      <c r="H637" s="44">
        <v>4119</v>
      </c>
      <c r="Q637" s="42">
        <f t="shared" si="11"/>
        <v>4119</v>
      </c>
      <c r="R637" s="48">
        <v>0.14000000000000001</v>
      </c>
      <c r="S637" s="42" t="s">
        <v>280</v>
      </c>
    </row>
    <row r="638" spans="1:19">
      <c r="A638" s="45">
        <v>2015</v>
      </c>
      <c r="B638" s="45" t="s">
        <v>106</v>
      </c>
      <c r="C638" s="45" t="s">
        <v>44</v>
      </c>
      <c r="D638" s="45" t="s">
        <v>277</v>
      </c>
      <c r="E638" s="45">
        <v>19484</v>
      </c>
      <c r="F638" s="45"/>
      <c r="G638" s="45"/>
      <c r="H638" s="45">
        <v>2727</v>
      </c>
      <c r="Q638" s="42">
        <f t="shared" si="11"/>
        <v>3312</v>
      </c>
      <c r="R638" s="48">
        <v>0.17</v>
      </c>
      <c r="S638" s="42" t="s">
        <v>281</v>
      </c>
    </row>
    <row r="639" spans="1:19">
      <c r="A639" s="44">
        <v>2015</v>
      </c>
      <c r="B639" s="44" t="s">
        <v>106</v>
      </c>
      <c r="C639" s="44" t="s">
        <v>44</v>
      </c>
      <c r="D639" s="44" t="s">
        <v>278</v>
      </c>
      <c r="E639" s="44">
        <v>13010</v>
      </c>
      <c r="F639" s="44"/>
      <c r="G639" s="44"/>
      <c r="H639" s="44">
        <v>1821</v>
      </c>
      <c r="Q639" s="42">
        <f t="shared" si="11"/>
        <v>2211</v>
      </c>
      <c r="R639" s="48">
        <v>0.17</v>
      </c>
      <c r="S639" s="42" t="s">
        <v>282</v>
      </c>
    </row>
    <row r="640" spans="1:19">
      <c r="A640" s="45">
        <v>2015</v>
      </c>
      <c r="B640" s="45" t="s">
        <v>106</v>
      </c>
      <c r="C640" s="45" t="s">
        <v>44</v>
      </c>
      <c r="D640" s="45" t="s">
        <v>279</v>
      </c>
      <c r="E640" s="45">
        <v>9090</v>
      </c>
      <c r="F640" s="45"/>
      <c r="G640" s="45"/>
      <c r="H640" s="45">
        <v>1272</v>
      </c>
    </row>
    <row r="641" spans="1:19">
      <c r="A641" s="44">
        <v>2015</v>
      </c>
      <c r="B641" s="44" t="s">
        <v>106</v>
      </c>
      <c r="C641" s="44" t="s">
        <v>44</v>
      </c>
      <c r="D641" s="44" t="s">
        <v>280</v>
      </c>
      <c r="E641" s="44">
        <v>5317</v>
      </c>
      <c r="F641" s="44"/>
      <c r="G641" s="44"/>
      <c r="H641" s="44">
        <v>744</v>
      </c>
    </row>
    <row r="642" spans="1:19">
      <c r="A642" s="45">
        <v>2015</v>
      </c>
      <c r="B642" s="45" t="s">
        <v>106</v>
      </c>
      <c r="C642" s="45" t="s">
        <v>44</v>
      </c>
      <c r="D642" s="45" t="s">
        <v>281</v>
      </c>
      <c r="E642" s="45">
        <v>3196</v>
      </c>
      <c r="F642" s="45"/>
      <c r="G642" s="45"/>
      <c r="H642" s="45">
        <v>543</v>
      </c>
      <c r="Q642" s="42">
        <f t="shared" si="11"/>
        <v>543</v>
      </c>
      <c r="R642" s="48">
        <v>0.17</v>
      </c>
      <c r="S642" s="42" t="s">
        <v>267</v>
      </c>
    </row>
    <row r="643" spans="1:19">
      <c r="A643" s="44">
        <v>2015</v>
      </c>
      <c r="B643" s="44" t="s">
        <v>106</v>
      </c>
      <c r="C643" s="44" t="s">
        <v>44</v>
      </c>
      <c r="D643" s="44" t="s">
        <v>285</v>
      </c>
      <c r="E643" s="44">
        <v>3634</v>
      </c>
      <c r="F643" s="44"/>
      <c r="G643" s="44"/>
      <c r="H643" s="44">
        <v>617</v>
      </c>
      <c r="Q643" s="42">
        <f t="shared" si="11"/>
        <v>508</v>
      </c>
      <c r="R643" s="48">
        <v>0.14000000000000001</v>
      </c>
      <c r="S643" s="42" t="s">
        <v>268</v>
      </c>
    </row>
    <row r="644" spans="1:19">
      <c r="A644" s="45">
        <v>2015</v>
      </c>
      <c r="B644" s="45" t="s">
        <v>107</v>
      </c>
      <c r="C644" s="45" t="s">
        <v>44</v>
      </c>
      <c r="D644" s="45" t="s">
        <v>267</v>
      </c>
      <c r="E644" s="45">
        <v>88436</v>
      </c>
      <c r="F644" s="45"/>
      <c r="G644" s="45"/>
      <c r="H644" s="45">
        <v>15034</v>
      </c>
      <c r="Q644" s="42">
        <f t="shared" si="11"/>
        <v>12381</v>
      </c>
      <c r="R644" s="48">
        <v>0.14000000000000001</v>
      </c>
      <c r="S644" s="42" t="s">
        <v>269</v>
      </c>
    </row>
    <row r="645" spans="1:19">
      <c r="A645" s="44">
        <v>2015</v>
      </c>
      <c r="B645" s="44" t="s">
        <v>107</v>
      </c>
      <c r="C645" s="44" t="s">
        <v>44</v>
      </c>
      <c r="D645" s="44" t="s">
        <v>268</v>
      </c>
      <c r="E645" s="44">
        <v>66876</v>
      </c>
      <c r="F645" s="44"/>
      <c r="G645" s="44"/>
      <c r="H645" s="44">
        <v>9362</v>
      </c>
      <c r="Q645" s="42">
        <f t="shared" si="11"/>
        <v>9362</v>
      </c>
      <c r="R645" s="48">
        <v>0.14000000000000001</v>
      </c>
      <c r="S645" s="42" t="s">
        <v>254</v>
      </c>
    </row>
    <row r="646" spans="1:19">
      <c r="A646" s="45">
        <v>2015</v>
      </c>
      <c r="B646" s="45" t="s">
        <v>107</v>
      </c>
      <c r="C646" s="45" t="s">
        <v>44</v>
      </c>
      <c r="D646" s="45" t="s">
        <v>269</v>
      </c>
      <c r="E646" s="45">
        <v>56303</v>
      </c>
      <c r="F646" s="45"/>
      <c r="G646" s="45"/>
      <c r="H646" s="45">
        <v>7882</v>
      </c>
      <c r="Q646" s="42">
        <f t="shared" si="11"/>
        <v>7882</v>
      </c>
      <c r="R646" s="48">
        <v>0.14000000000000001</v>
      </c>
      <c r="S646" s="42" t="s">
        <v>270</v>
      </c>
    </row>
    <row r="647" spans="1:19">
      <c r="A647" s="44">
        <v>2015</v>
      </c>
      <c r="B647" s="44" t="s">
        <v>107</v>
      </c>
      <c r="C647" s="44" t="s">
        <v>44</v>
      </c>
      <c r="D647" s="44" t="s">
        <v>254</v>
      </c>
      <c r="E647" s="44">
        <v>51771</v>
      </c>
      <c r="F647" s="44"/>
      <c r="G647" s="44"/>
      <c r="H647" s="44">
        <v>7247</v>
      </c>
      <c r="Q647" s="42">
        <f t="shared" si="11"/>
        <v>7247</v>
      </c>
      <c r="R647" s="48">
        <v>0.14000000000000001</v>
      </c>
      <c r="S647" s="42" t="s">
        <v>271</v>
      </c>
    </row>
    <row r="648" spans="1:19">
      <c r="A648" s="45">
        <v>2015</v>
      </c>
      <c r="B648" s="45" t="s">
        <v>107</v>
      </c>
      <c r="C648" s="45" t="s">
        <v>44</v>
      </c>
      <c r="D648" s="45" t="s">
        <v>270</v>
      </c>
      <c r="E648" s="45">
        <v>39030</v>
      </c>
      <c r="F648" s="45"/>
      <c r="G648" s="45"/>
      <c r="H648" s="45">
        <v>5464</v>
      </c>
      <c r="Q648" s="42">
        <f t="shared" si="11"/>
        <v>5464</v>
      </c>
      <c r="R648" s="48">
        <v>0.14000000000000001</v>
      </c>
      <c r="S648" s="42" t="s">
        <v>272</v>
      </c>
    </row>
    <row r="649" spans="1:19">
      <c r="A649" s="44">
        <v>2015</v>
      </c>
      <c r="B649" s="44" t="s">
        <v>107</v>
      </c>
      <c r="C649" s="44" t="s">
        <v>44</v>
      </c>
      <c r="D649" s="44" t="s">
        <v>271</v>
      </c>
      <c r="E649" s="44">
        <v>27004</v>
      </c>
      <c r="F649" s="44"/>
      <c r="G649" s="44"/>
      <c r="H649" s="44">
        <v>3780</v>
      </c>
      <c r="Q649" s="42">
        <f t="shared" si="11"/>
        <v>3780</v>
      </c>
      <c r="R649" s="48">
        <v>0.14000000000000001</v>
      </c>
      <c r="S649" s="42" t="s">
        <v>273</v>
      </c>
    </row>
    <row r="650" spans="1:19">
      <c r="A650" s="45">
        <v>2015</v>
      </c>
      <c r="B650" s="45" t="s">
        <v>107</v>
      </c>
      <c r="C650" s="45" t="s">
        <v>44</v>
      </c>
      <c r="D650" s="45" t="s">
        <v>272</v>
      </c>
      <c r="E650" s="45">
        <v>24310</v>
      </c>
      <c r="F650" s="45"/>
      <c r="G650" s="45"/>
      <c r="H650" s="45">
        <v>3403</v>
      </c>
      <c r="Q650" s="42">
        <f t="shared" si="11"/>
        <v>3403</v>
      </c>
      <c r="R650" s="48">
        <v>0.14000000000000001</v>
      </c>
      <c r="S650" s="42" t="s">
        <v>274</v>
      </c>
    </row>
    <row r="651" spans="1:19">
      <c r="A651" s="44">
        <v>2015</v>
      </c>
      <c r="B651" s="44" t="s">
        <v>107</v>
      </c>
      <c r="C651" s="44" t="s">
        <v>44</v>
      </c>
      <c r="D651" s="44" t="s">
        <v>273</v>
      </c>
      <c r="E651" s="44">
        <v>20295</v>
      </c>
      <c r="F651" s="44"/>
      <c r="G651" s="44"/>
      <c r="H651" s="44">
        <v>2841</v>
      </c>
      <c r="Q651" s="42">
        <f t="shared" si="11"/>
        <v>2841</v>
      </c>
      <c r="R651" s="48">
        <v>0.14000000000000001</v>
      </c>
      <c r="S651" s="42" t="s">
        <v>275</v>
      </c>
    </row>
    <row r="652" spans="1:19">
      <c r="A652" s="45">
        <v>2015</v>
      </c>
      <c r="B652" s="45" t="s">
        <v>107</v>
      </c>
      <c r="C652" s="45" t="s">
        <v>44</v>
      </c>
      <c r="D652" s="45" t="s">
        <v>274</v>
      </c>
      <c r="E652" s="45">
        <v>17312</v>
      </c>
      <c r="F652" s="45"/>
      <c r="G652" s="45"/>
      <c r="H652" s="45">
        <v>2423</v>
      </c>
      <c r="Q652" s="42">
        <f t="shared" si="11"/>
        <v>2423</v>
      </c>
      <c r="R652" s="48">
        <v>0.14000000000000001</v>
      </c>
      <c r="S652" s="42" t="s">
        <v>276</v>
      </c>
    </row>
    <row r="653" spans="1:19">
      <c r="A653" s="44">
        <v>2015</v>
      </c>
      <c r="B653" s="44" t="s">
        <v>107</v>
      </c>
      <c r="C653" s="44" t="s">
        <v>44</v>
      </c>
      <c r="D653" s="44" t="s">
        <v>275</v>
      </c>
      <c r="E653" s="44">
        <v>12592</v>
      </c>
      <c r="F653" s="44"/>
      <c r="G653" s="44"/>
      <c r="H653" s="44">
        <v>1762</v>
      </c>
      <c r="Q653" s="42">
        <f t="shared" si="11"/>
        <v>1762</v>
      </c>
      <c r="R653" s="48">
        <v>0.14000000000000001</v>
      </c>
      <c r="S653" s="42" t="s">
        <v>277</v>
      </c>
    </row>
    <row r="654" spans="1:19">
      <c r="A654" s="45">
        <v>2015</v>
      </c>
      <c r="B654" s="45" t="s">
        <v>107</v>
      </c>
      <c r="C654" s="45" t="s">
        <v>44</v>
      </c>
      <c r="D654" s="45" t="s">
        <v>276</v>
      </c>
      <c r="E654" s="45">
        <v>9978</v>
      </c>
      <c r="F654" s="45"/>
      <c r="G654" s="45"/>
      <c r="H654" s="45">
        <v>1396</v>
      </c>
      <c r="Q654" s="42">
        <f t="shared" si="11"/>
        <v>1396</v>
      </c>
      <c r="R654" s="48">
        <v>0.14000000000000001</v>
      </c>
      <c r="S654" s="42" t="s">
        <v>278</v>
      </c>
    </row>
    <row r="655" spans="1:19">
      <c r="A655" s="44">
        <v>2015</v>
      </c>
      <c r="B655" s="44" t="s">
        <v>107</v>
      </c>
      <c r="C655" s="44" t="s">
        <v>44</v>
      </c>
      <c r="D655" s="44" t="s">
        <v>277</v>
      </c>
      <c r="E655" s="44">
        <v>7212</v>
      </c>
      <c r="F655" s="44"/>
      <c r="G655" s="44"/>
      <c r="H655" s="44">
        <v>1009</v>
      </c>
      <c r="Q655" s="42">
        <f t="shared" si="11"/>
        <v>1009</v>
      </c>
      <c r="R655" s="48">
        <v>0.14000000000000001</v>
      </c>
      <c r="S655" s="42" t="s">
        <v>279</v>
      </c>
    </row>
    <row r="656" spans="1:19">
      <c r="A656" s="45">
        <v>2015</v>
      </c>
      <c r="B656" s="45" t="s">
        <v>107</v>
      </c>
      <c r="C656" s="45" t="s">
        <v>44</v>
      </c>
      <c r="D656" s="45" t="s">
        <v>278</v>
      </c>
      <c r="E656" s="45">
        <v>4812</v>
      </c>
      <c r="F656" s="45"/>
      <c r="G656" s="45"/>
      <c r="H656" s="45">
        <v>673</v>
      </c>
      <c r="Q656" s="42">
        <f t="shared" si="11"/>
        <v>673</v>
      </c>
      <c r="R656" s="48">
        <v>0.14000000000000001</v>
      </c>
      <c r="S656" s="42" t="s">
        <v>280</v>
      </c>
    </row>
    <row r="657" spans="1:19">
      <c r="A657" s="44">
        <v>2015</v>
      </c>
      <c r="B657" s="44" t="s">
        <v>107</v>
      </c>
      <c r="C657" s="44" t="s">
        <v>44</v>
      </c>
      <c r="D657" s="44" t="s">
        <v>279</v>
      </c>
      <c r="E657" s="44">
        <v>4156</v>
      </c>
      <c r="F657" s="44"/>
      <c r="G657" s="44"/>
      <c r="H657" s="44">
        <v>581</v>
      </c>
      <c r="Q657" s="42">
        <f t="shared" si="11"/>
        <v>706</v>
      </c>
      <c r="R657" s="48">
        <v>0.17</v>
      </c>
      <c r="S657" s="42" t="s">
        <v>281</v>
      </c>
    </row>
    <row r="658" spans="1:19">
      <c r="A658" s="45">
        <v>2015</v>
      </c>
      <c r="B658" s="45" t="s">
        <v>107</v>
      </c>
      <c r="C658" s="45" t="s">
        <v>44</v>
      </c>
      <c r="D658" s="45" t="s">
        <v>280</v>
      </c>
      <c r="E658" s="45">
        <v>3278</v>
      </c>
      <c r="F658" s="45"/>
      <c r="G658" s="45"/>
      <c r="H658" s="45">
        <v>458</v>
      </c>
      <c r="Q658" s="42">
        <f t="shared" si="11"/>
        <v>557</v>
      </c>
      <c r="R658" s="48">
        <v>0.17</v>
      </c>
      <c r="S658" s="42" t="s">
        <v>282</v>
      </c>
    </row>
    <row r="659" spans="1:19">
      <c r="A659" s="44">
        <v>2015</v>
      </c>
      <c r="B659" s="44" t="s">
        <v>107</v>
      </c>
      <c r="C659" s="44" t="s">
        <v>44</v>
      </c>
      <c r="D659" s="44" t="s">
        <v>281</v>
      </c>
      <c r="E659" s="44">
        <v>2666</v>
      </c>
      <c r="F659" s="44"/>
      <c r="G659" s="44"/>
      <c r="H659" s="44">
        <v>453</v>
      </c>
    </row>
    <row r="660" spans="1:19">
      <c r="A660" s="45">
        <v>2015</v>
      </c>
      <c r="B660" s="45" t="s">
        <v>107</v>
      </c>
      <c r="C660" s="45" t="s">
        <v>44</v>
      </c>
      <c r="D660" s="45" t="s">
        <v>285</v>
      </c>
      <c r="E660" s="45">
        <v>3529</v>
      </c>
      <c r="F660" s="45"/>
      <c r="G660" s="45"/>
      <c r="H660" s="45">
        <v>599</v>
      </c>
    </row>
    <row r="661" spans="1:19">
      <c r="A661" s="44">
        <v>2015</v>
      </c>
      <c r="B661" s="44" t="s">
        <v>109</v>
      </c>
      <c r="C661" s="44" t="s">
        <v>44</v>
      </c>
      <c r="D661" s="44" t="s">
        <v>267</v>
      </c>
      <c r="E661" s="44">
        <v>128751</v>
      </c>
      <c r="F661" s="44"/>
      <c r="G661" s="44"/>
      <c r="H661" s="44">
        <v>21887</v>
      </c>
      <c r="Q661" s="42">
        <f t="shared" si="11"/>
        <v>21887</v>
      </c>
      <c r="R661" s="48">
        <v>0.17</v>
      </c>
      <c r="S661" s="42" t="s">
        <v>267</v>
      </c>
    </row>
    <row r="662" spans="1:19">
      <c r="A662" s="45">
        <v>2015</v>
      </c>
      <c r="B662" s="45" t="s">
        <v>109</v>
      </c>
      <c r="C662" s="45" t="s">
        <v>44</v>
      </c>
      <c r="D662" s="45" t="s">
        <v>268</v>
      </c>
      <c r="E662" s="45">
        <v>105963</v>
      </c>
      <c r="F662" s="45"/>
      <c r="G662" s="45"/>
      <c r="H662" s="45">
        <v>14834</v>
      </c>
      <c r="Q662" s="42">
        <f t="shared" si="11"/>
        <v>14834</v>
      </c>
      <c r="R662" s="48">
        <v>0.14000000000000001</v>
      </c>
      <c r="S662" s="42" t="s">
        <v>268</v>
      </c>
    </row>
    <row r="663" spans="1:19">
      <c r="A663" s="44">
        <v>2015</v>
      </c>
      <c r="B663" s="44" t="s">
        <v>109</v>
      </c>
      <c r="C663" s="44" t="s">
        <v>44</v>
      </c>
      <c r="D663" s="44" t="s">
        <v>269</v>
      </c>
      <c r="E663" s="44">
        <v>84590</v>
      </c>
      <c r="F663" s="44"/>
      <c r="G663" s="44"/>
      <c r="H663" s="44">
        <v>11842</v>
      </c>
      <c r="Q663" s="42">
        <f t="shared" si="11"/>
        <v>11842</v>
      </c>
      <c r="R663" s="48">
        <v>0.14000000000000001</v>
      </c>
      <c r="S663" s="42" t="s">
        <v>269</v>
      </c>
    </row>
    <row r="664" spans="1:19">
      <c r="A664" s="45">
        <v>2015</v>
      </c>
      <c r="B664" s="45" t="s">
        <v>109</v>
      </c>
      <c r="C664" s="45" t="s">
        <v>44</v>
      </c>
      <c r="D664" s="45" t="s">
        <v>254</v>
      </c>
      <c r="E664" s="45">
        <v>73510</v>
      </c>
      <c r="F664" s="45"/>
      <c r="G664" s="45"/>
      <c r="H664" s="45">
        <v>10291</v>
      </c>
      <c r="Q664" s="42">
        <f t="shared" si="11"/>
        <v>10291</v>
      </c>
      <c r="R664" s="48">
        <v>0.14000000000000001</v>
      </c>
      <c r="S664" s="42" t="s">
        <v>254</v>
      </c>
    </row>
    <row r="665" spans="1:19">
      <c r="A665" s="44">
        <v>2015</v>
      </c>
      <c r="B665" s="44" t="s">
        <v>109</v>
      </c>
      <c r="C665" s="44" t="s">
        <v>44</v>
      </c>
      <c r="D665" s="44" t="s">
        <v>270</v>
      </c>
      <c r="E665" s="44">
        <v>54546</v>
      </c>
      <c r="F665" s="44"/>
      <c r="G665" s="44"/>
      <c r="H665" s="44">
        <v>7636</v>
      </c>
      <c r="Q665" s="42">
        <f t="shared" si="11"/>
        <v>7636</v>
      </c>
      <c r="R665" s="48">
        <v>0.14000000000000001</v>
      </c>
      <c r="S665" s="42" t="s">
        <v>270</v>
      </c>
    </row>
    <row r="666" spans="1:19">
      <c r="A666" s="45">
        <v>2015</v>
      </c>
      <c r="B666" s="45" t="s">
        <v>109</v>
      </c>
      <c r="C666" s="45" t="s">
        <v>44</v>
      </c>
      <c r="D666" s="45" t="s">
        <v>271</v>
      </c>
      <c r="E666" s="45">
        <v>37412</v>
      </c>
      <c r="F666" s="45"/>
      <c r="G666" s="45"/>
      <c r="H666" s="45">
        <v>5237</v>
      </c>
      <c r="Q666" s="42">
        <f t="shared" si="11"/>
        <v>5237</v>
      </c>
      <c r="R666" s="48">
        <v>0.14000000000000001</v>
      </c>
      <c r="S666" s="42" t="s">
        <v>271</v>
      </c>
    </row>
    <row r="667" spans="1:19">
      <c r="A667" s="44">
        <v>2015</v>
      </c>
      <c r="B667" s="44" t="s">
        <v>109</v>
      </c>
      <c r="C667" s="44" t="s">
        <v>44</v>
      </c>
      <c r="D667" s="44" t="s">
        <v>272</v>
      </c>
      <c r="E667" s="44">
        <v>35429</v>
      </c>
      <c r="F667" s="44"/>
      <c r="G667" s="44"/>
      <c r="H667" s="44">
        <v>4960</v>
      </c>
      <c r="Q667" s="42">
        <f t="shared" si="11"/>
        <v>4960</v>
      </c>
      <c r="R667" s="48">
        <v>0.14000000000000001</v>
      </c>
      <c r="S667" s="42" t="s">
        <v>272</v>
      </c>
    </row>
    <row r="668" spans="1:19">
      <c r="A668" s="45">
        <v>2015</v>
      </c>
      <c r="B668" s="45" t="s">
        <v>109</v>
      </c>
      <c r="C668" s="45" t="s">
        <v>44</v>
      </c>
      <c r="D668" s="45" t="s">
        <v>273</v>
      </c>
      <c r="E668" s="45">
        <v>29382</v>
      </c>
      <c r="F668" s="45"/>
      <c r="G668" s="45"/>
      <c r="H668" s="45">
        <v>4113</v>
      </c>
      <c r="Q668" s="42">
        <f t="shared" si="11"/>
        <v>4113</v>
      </c>
      <c r="R668" s="48">
        <v>0.14000000000000001</v>
      </c>
      <c r="S668" s="42" t="s">
        <v>273</v>
      </c>
    </row>
    <row r="669" spans="1:19">
      <c r="A669" s="44">
        <v>2015</v>
      </c>
      <c r="B669" s="44" t="s">
        <v>109</v>
      </c>
      <c r="C669" s="44" t="s">
        <v>44</v>
      </c>
      <c r="D669" s="44" t="s">
        <v>274</v>
      </c>
      <c r="E669" s="44">
        <v>25621</v>
      </c>
      <c r="F669" s="44"/>
      <c r="G669" s="44"/>
      <c r="H669" s="44">
        <v>3586</v>
      </c>
      <c r="Q669" s="42">
        <f t="shared" si="11"/>
        <v>3586</v>
      </c>
      <c r="R669" s="48">
        <v>0.14000000000000001</v>
      </c>
      <c r="S669" s="42" t="s">
        <v>274</v>
      </c>
    </row>
    <row r="670" spans="1:19">
      <c r="A670" s="45">
        <v>2015</v>
      </c>
      <c r="B670" s="45" t="s">
        <v>109</v>
      </c>
      <c r="C670" s="45" t="s">
        <v>44</v>
      </c>
      <c r="D670" s="45" t="s">
        <v>275</v>
      </c>
      <c r="E670" s="45">
        <v>18744</v>
      </c>
      <c r="F670" s="45"/>
      <c r="G670" s="45"/>
      <c r="H670" s="45">
        <v>2624</v>
      </c>
      <c r="Q670" s="42">
        <f t="shared" si="11"/>
        <v>2624</v>
      </c>
      <c r="R670" s="48">
        <v>0.14000000000000001</v>
      </c>
      <c r="S670" s="42" t="s">
        <v>275</v>
      </c>
    </row>
    <row r="671" spans="1:19">
      <c r="A671" s="44">
        <v>2015</v>
      </c>
      <c r="B671" s="44" t="s">
        <v>109</v>
      </c>
      <c r="C671" s="44" t="s">
        <v>44</v>
      </c>
      <c r="D671" s="44" t="s">
        <v>276</v>
      </c>
      <c r="E671" s="44">
        <v>15575</v>
      </c>
      <c r="F671" s="44"/>
      <c r="G671" s="44"/>
      <c r="H671" s="44">
        <v>2180</v>
      </c>
      <c r="Q671" s="42">
        <f t="shared" si="11"/>
        <v>2180</v>
      </c>
      <c r="R671" s="48">
        <v>0.14000000000000001</v>
      </c>
      <c r="S671" s="42" t="s">
        <v>276</v>
      </c>
    </row>
    <row r="672" spans="1:19">
      <c r="A672" s="45">
        <v>2015</v>
      </c>
      <c r="B672" s="45" t="s">
        <v>109</v>
      </c>
      <c r="C672" s="45" t="s">
        <v>44</v>
      </c>
      <c r="D672" s="45" t="s">
        <v>277</v>
      </c>
      <c r="E672" s="45">
        <v>11352</v>
      </c>
      <c r="F672" s="45"/>
      <c r="G672" s="45"/>
      <c r="H672" s="45">
        <v>1589</v>
      </c>
      <c r="Q672" s="42">
        <f t="shared" si="11"/>
        <v>1589</v>
      </c>
      <c r="R672" s="48">
        <v>0.14000000000000001</v>
      </c>
      <c r="S672" s="42" t="s">
        <v>277</v>
      </c>
    </row>
    <row r="673" spans="1:19">
      <c r="A673" s="44">
        <v>2015</v>
      </c>
      <c r="B673" s="44" t="s">
        <v>109</v>
      </c>
      <c r="C673" s="44" t="s">
        <v>44</v>
      </c>
      <c r="D673" s="44" t="s">
        <v>278</v>
      </c>
      <c r="E673" s="44">
        <v>7529</v>
      </c>
      <c r="F673" s="44"/>
      <c r="G673" s="44"/>
      <c r="H673" s="44">
        <v>1054</v>
      </c>
      <c r="Q673" s="42">
        <f t="shared" si="11"/>
        <v>1054</v>
      </c>
      <c r="R673" s="48">
        <v>0.14000000000000001</v>
      </c>
      <c r="S673" s="42" t="s">
        <v>278</v>
      </c>
    </row>
    <row r="674" spans="1:19">
      <c r="A674" s="45">
        <v>2015</v>
      </c>
      <c r="B674" s="45" t="s">
        <v>109</v>
      </c>
      <c r="C674" s="45" t="s">
        <v>44</v>
      </c>
      <c r="D674" s="45" t="s">
        <v>279</v>
      </c>
      <c r="E674" s="45">
        <v>6122</v>
      </c>
      <c r="F674" s="45"/>
      <c r="G674" s="45"/>
      <c r="H674" s="45">
        <v>857</v>
      </c>
      <c r="Q674" s="42">
        <f t="shared" si="11"/>
        <v>857</v>
      </c>
      <c r="R674" s="48">
        <v>0.14000000000000001</v>
      </c>
      <c r="S674" s="42" t="s">
        <v>279</v>
      </c>
    </row>
    <row r="675" spans="1:19">
      <c r="A675" s="44">
        <v>2015</v>
      </c>
      <c r="B675" s="44" t="s">
        <v>109</v>
      </c>
      <c r="C675" s="44" t="s">
        <v>44</v>
      </c>
      <c r="D675" s="44" t="s">
        <v>280</v>
      </c>
      <c r="E675" s="44">
        <v>4788</v>
      </c>
      <c r="F675" s="44"/>
      <c r="G675" s="44"/>
      <c r="H675" s="44">
        <v>670</v>
      </c>
      <c r="Q675" s="42">
        <f t="shared" si="11"/>
        <v>670</v>
      </c>
      <c r="R675" s="48">
        <v>0.14000000000000001</v>
      </c>
      <c r="S675" s="42" t="s">
        <v>280</v>
      </c>
    </row>
    <row r="676" spans="1:19">
      <c r="A676" s="45">
        <v>2015</v>
      </c>
      <c r="B676" s="45" t="s">
        <v>109</v>
      </c>
      <c r="C676" s="45" t="s">
        <v>44</v>
      </c>
      <c r="D676" s="45" t="s">
        <v>281</v>
      </c>
      <c r="E676" s="45">
        <v>3681</v>
      </c>
      <c r="F676" s="45"/>
      <c r="G676" s="45"/>
      <c r="H676" s="45">
        <v>625</v>
      </c>
      <c r="Q676" s="42">
        <f t="shared" si="11"/>
        <v>625</v>
      </c>
      <c r="R676" s="48">
        <v>0.17</v>
      </c>
      <c r="S676" s="42" t="s">
        <v>281</v>
      </c>
    </row>
    <row r="677" spans="1:19">
      <c r="A677" s="44">
        <v>2015</v>
      </c>
      <c r="B677" s="44" t="s">
        <v>109</v>
      </c>
      <c r="C677" s="44" t="s">
        <v>44</v>
      </c>
      <c r="D677" s="44" t="s">
        <v>285</v>
      </c>
      <c r="E677" s="44">
        <v>3988</v>
      </c>
      <c r="F677" s="44"/>
      <c r="G677" s="44"/>
      <c r="H677" s="44">
        <v>677</v>
      </c>
      <c r="Q677" s="42">
        <f t="shared" si="11"/>
        <v>677</v>
      </c>
      <c r="R677" s="48">
        <v>0.17</v>
      </c>
      <c r="S677" s="42" t="s">
        <v>282</v>
      </c>
    </row>
    <row r="678" spans="1:19">
      <c r="A678" s="45">
        <v>2015</v>
      </c>
      <c r="B678" s="45" t="s">
        <v>108</v>
      </c>
      <c r="C678" s="45" t="s">
        <v>44</v>
      </c>
      <c r="D678" s="45" t="s">
        <v>267</v>
      </c>
      <c r="E678" s="45">
        <v>84509</v>
      </c>
      <c r="F678" s="45"/>
      <c r="G678" s="45"/>
      <c r="H678" s="45">
        <v>14366</v>
      </c>
    </row>
    <row r="679" spans="1:19">
      <c r="A679" s="44">
        <v>2015</v>
      </c>
      <c r="B679" s="44" t="s">
        <v>108</v>
      </c>
      <c r="C679" s="44" t="s">
        <v>44</v>
      </c>
      <c r="D679" s="44" t="s">
        <v>268</v>
      </c>
      <c r="E679" s="44">
        <v>71205</v>
      </c>
      <c r="F679" s="44"/>
      <c r="G679" s="44"/>
      <c r="H679" s="44">
        <v>9968</v>
      </c>
    </row>
    <row r="680" spans="1:19">
      <c r="A680" s="45">
        <v>2015</v>
      </c>
      <c r="B680" s="45" t="s">
        <v>108</v>
      </c>
      <c r="C680" s="45" t="s">
        <v>44</v>
      </c>
      <c r="D680" s="45" t="s">
        <v>269</v>
      </c>
      <c r="E680" s="45">
        <v>53737</v>
      </c>
      <c r="F680" s="45"/>
      <c r="G680" s="45"/>
      <c r="H680" s="45">
        <v>7523</v>
      </c>
      <c r="Q680" s="42">
        <f t="shared" si="11"/>
        <v>9135</v>
      </c>
      <c r="R680" s="48">
        <v>0.17</v>
      </c>
      <c r="S680" s="42" t="s">
        <v>267</v>
      </c>
    </row>
    <row r="681" spans="1:19">
      <c r="A681" s="44">
        <v>2015</v>
      </c>
      <c r="B681" s="44" t="s">
        <v>108</v>
      </c>
      <c r="C681" s="44" t="s">
        <v>44</v>
      </c>
      <c r="D681" s="44" t="s">
        <v>254</v>
      </c>
      <c r="E681" s="44">
        <v>47461</v>
      </c>
      <c r="F681" s="44"/>
      <c r="G681" s="44"/>
      <c r="H681" s="44">
        <v>6644</v>
      </c>
      <c r="Q681" s="42">
        <f t="shared" si="11"/>
        <v>6644</v>
      </c>
      <c r="R681" s="48">
        <v>0.14000000000000001</v>
      </c>
      <c r="S681" s="42" t="s">
        <v>268</v>
      </c>
    </row>
    <row r="682" spans="1:19">
      <c r="A682" s="45">
        <v>2015</v>
      </c>
      <c r="B682" s="45" t="s">
        <v>108</v>
      </c>
      <c r="C682" s="45" t="s">
        <v>44</v>
      </c>
      <c r="D682" s="45" t="s">
        <v>270</v>
      </c>
      <c r="E682" s="45">
        <v>37756</v>
      </c>
      <c r="F682" s="45"/>
      <c r="G682" s="45"/>
      <c r="H682" s="45">
        <v>5285</v>
      </c>
      <c r="Q682" s="42">
        <f t="shared" si="11"/>
        <v>5285</v>
      </c>
      <c r="R682" s="48">
        <v>0.14000000000000001</v>
      </c>
      <c r="S682" s="42" t="s">
        <v>269</v>
      </c>
    </row>
    <row r="683" spans="1:19">
      <c r="A683" s="44">
        <v>2015</v>
      </c>
      <c r="B683" s="44" t="s">
        <v>108</v>
      </c>
      <c r="C683" s="44" t="s">
        <v>44</v>
      </c>
      <c r="D683" s="44" t="s">
        <v>271</v>
      </c>
      <c r="E683" s="44">
        <v>25068</v>
      </c>
      <c r="F683" s="44"/>
      <c r="G683" s="44"/>
      <c r="H683" s="44">
        <v>3509</v>
      </c>
      <c r="Q683" s="42">
        <f t="shared" si="11"/>
        <v>3509</v>
      </c>
      <c r="R683" s="48">
        <v>0.14000000000000001</v>
      </c>
      <c r="S683" s="42" t="s">
        <v>254</v>
      </c>
    </row>
    <row r="684" spans="1:19">
      <c r="A684" s="45">
        <v>2015</v>
      </c>
      <c r="B684" s="45" t="s">
        <v>108</v>
      </c>
      <c r="C684" s="45" t="s">
        <v>44</v>
      </c>
      <c r="D684" s="45" t="s">
        <v>272</v>
      </c>
      <c r="E684" s="45">
        <v>21674</v>
      </c>
      <c r="F684" s="45"/>
      <c r="G684" s="45"/>
      <c r="H684" s="45">
        <v>3034</v>
      </c>
      <c r="Q684" s="42">
        <f t="shared" si="11"/>
        <v>3034</v>
      </c>
      <c r="R684" s="48">
        <v>0.14000000000000001</v>
      </c>
      <c r="S684" s="42" t="s">
        <v>270</v>
      </c>
    </row>
    <row r="685" spans="1:19">
      <c r="A685" s="44">
        <v>2015</v>
      </c>
      <c r="B685" s="44" t="s">
        <v>108</v>
      </c>
      <c r="C685" s="44" t="s">
        <v>44</v>
      </c>
      <c r="D685" s="44" t="s">
        <v>273</v>
      </c>
      <c r="E685" s="44">
        <v>18146</v>
      </c>
      <c r="F685" s="44"/>
      <c r="G685" s="44"/>
      <c r="H685" s="44">
        <v>2540</v>
      </c>
      <c r="Q685" s="42">
        <f t="shared" si="11"/>
        <v>2540</v>
      </c>
      <c r="R685" s="48">
        <v>0.14000000000000001</v>
      </c>
      <c r="S685" s="42" t="s">
        <v>271</v>
      </c>
    </row>
    <row r="686" spans="1:19">
      <c r="A686" s="45">
        <v>2015</v>
      </c>
      <c r="B686" s="45" t="s">
        <v>108</v>
      </c>
      <c r="C686" s="45" t="s">
        <v>44</v>
      </c>
      <c r="D686" s="45" t="s">
        <v>274</v>
      </c>
      <c r="E686" s="45">
        <v>14948</v>
      </c>
      <c r="F686" s="45"/>
      <c r="G686" s="45"/>
      <c r="H686" s="45">
        <v>2092</v>
      </c>
      <c r="Q686" s="42">
        <f t="shared" si="11"/>
        <v>2092</v>
      </c>
      <c r="R686" s="48">
        <v>0.14000000000000001</v>
      </c>
      <c r="S686" s="42" t="s">
        <v>272</v>
      </c>
    </row>
    <row r="687" spans="1:19">
      <c r="A687" s="44">
        <v>2015</v>
      </c>
      <c r="B687" s="44" t="s">
        <v>108</v>
      </c>
      <c r="C687" s="44" t="s">
        <v>44</v>
      </c>
      <c r="D687" s="44" t="s">
        <v>275</v>
      </c>
      <c r="E687" s="44">
        <v>11336</v>
      </c>
      <c r="F687" s="44"/>
      <c r="G687" s="44"/>
      <c r="H687" s="44">
        <v>1587</v>
      </c>
      <c r="Q687" s="42">
        <f t="shared" si="11"/>
        <v>1587</v>
      </c>
      <c r="R687" s="48">
        <v>0.14000000000000001</v>
      </c>
      <c r="S687" s="42" t="s">
        <v>273</v>
      </c>
    </row>
    <row r="688" spans="1:19">
      <c r="A688" s="45">
        <v>2015</v>
      </c>
      <c r="B688" s="45" t="s">
        <v>108</v>
      </c>
      <c r="C688" s="45" t="s">
        <v>44</v>
      </c>
      <c r="D688" s="45" t="s">
        <v>276</v>
      </c>
      <c r="E688" s="45">
        <v>8609</v>
      </c>
      <c r="F688" s="45"/>
      <c r="G688" s="45"/>
      <c r="H688" s="45">
        <v>1205</v>
      </c>
      <c r="Q688" s="42">
        <f t="shared" si="11"/>
        <v>1205</v>
      </c>
      <c r="R688" s="48">
        <v>0.14000000000000001</v>
      </c>
      <c r="S688" s="42" t="s">
        <v>274</v>
      </c>
    </row>
    <row r="689" spans="1:19">
      <c r="A689" s="44">
        <v>2015</v>
      </c>
      <c r="B689" s="44" t="s">
        <v>108</v>
      </c>
      <c r="C689" s="44" t="s">
        <v>44</v>
      </c>
      <c r="D689" s="44" t="s">
        <v>277</v>
      </c>
      <c r="E689" s="44">
        <v>5959</v>
      </c>
      <c r="F689" s="44"/>
      <c r="G689" s="44"/>
      <c r="H689" s="44">
        <v>834</v>
      </c>
      <c r="Q689" s="42">
        <f t="shared" si="11"/>
        <v>834</v>
      </c>
      <c r="R689" s="48">
        <v>0.14000000000000001</v>
      </c>
      <c r="S689" s="42" t="s">
        <v>275</v>
      </c>
    </row>
    <row r="690" spans="1:19">
      <c r="A690" s="45">
        <v>2015</v>
      </c>
      <c r="B690" s="45" t="s">
        <v>108</v>
      </c>
      <c r="C690" s="45" t="s">
        <v>44</v>
      </c>
      <c r="D690" s="45" t="s">
        <v>278</v>
      </c>
      <c r="E690" s="45">
        <v>4168</v>
      </c>
      <c r="F690" s="45"/>
      <c r="G690" s="45"/>
      <c r="H690" s="45">
        <v>583</v>
      </c>
      <c r="Q690" s="42">
        <f t="shared" si="11"/>
        <v>583</v>
      </c>
      <c r="R690" s="48">
        <v>0.14000000000000001</v>
      </c>
      <c r="S690" s="42" t="s">
        <v>276</v>
      </c>
    </row>
    <row r="691" spans="1:19">
      <c r="A691" s="44">
        <v>2015</v>
      </c>
      <c r="B691" s="44" t="s">
        <v>108</v>
      </c>
      <c r="C691" s="44" t="s">
        <v>44</v>
      </c>
      <c r="D691" s="44" t="s">
        <v>279</v>
      </c>
      <c r="E691" s="44">
        <v>3264</v>
      </c>
      <c r="F691" s="44"/>
      <c r="G691" s="44"/>
      <c r="H691" s="44">
        <v>456</v>
      </c>
      <c r="Q691" s="42">
        <f t="shared" ref="Q691:Q753" si="12">INT(E691*R691)</f>
        <v>456</v>
      </c>
      <c r="R691" s="48">
        <v>0.14000000000000001</v>
      </c>
      <c r="S691" s="42" t="s">
        <v>277</v>
      </c>
    </row>
    <row r="692" spans="1:19">
      <c r="A692" s="45">
        <v>2015</v>
      </c>
      <c r="B692" s="45" t="s">
        <v>108</v>
      </c>
      <c r="C692" s="45" t="s">
        <v>44</v>
      </c>
      <c r="D692" s="45" t="s">
        <v>280</v>
      </c>
      <c r="E692" s="45">
        <v>2353</v>
      </c>
      <c r="F692" s="45"/>
      <c r="G692" s="45"/>
      <c r="H692" s="45">
        <v>329</v>
      </c>
      <c r="Q692" s="42">
        <f t="shared" si="12"/>
        <v>329</v>
      </c>
      <c r="R692" s="48">
        <v>0.14000000000000001</v>
      </c>
      <c r="S692" s="42" t="s">
        <v>278</v>
      </c>
    </row>
    <row r="693" spans="1:19">
      <c r="A693" s="44">
        <v>2015</v>
      </c>
      <c r="B693" s="44" t="s">
        <v>108</v>
      </c>
      <c r="C693" s="44" t="s">
        <v>44</v>
      </c>
      <c r="D693" s="44" t="s">
        <v>281</v>
      </c>
      <c r="E693" s="44">
        <v>1946</v>
      </c>
      <c r="F693" s="44"/>
      <c r="G693" s="44"/>
      <c r="H693" s="44">
        <v>330</v>
      </c>
      <c r="Q693" s="42">
        <f t="shared" si="12"/>
        <v>272</v>
      </c>
      <c r="R693" s="48">
        <v>0.14000000000000001</v>
      </c>
      <c r="S693" s="42" t="s">
        <v>279</v>
      </c>
    </row>
    <row r="694" spans="1:19">
      <c r="A694" s="45">
        <v>2015</v>
      </c>
      <c r="B694" s="45" t="s">
        <v>108</v>
      </c>
      <c r="C694" s="45" t="s">
        <v>44</v>
      </c>
      <c r="D694" s="45" t="s">
        <v>285</v>
      </c>
      <c r="E694" s="45">
        <v>3102</v>
      </c>
      <c r="F694" s="45"/>
      <c r="G694" s="45"/>
      <c r="H694" s="45">
        <v>527</v>
      </c>
      <c r="Q694" s="42">
        <f t="shared" si="12"/>
        <v>434</v>
      </c>
      <c r="R694" s="48">
        <v>0.14000000000000001</v>
      </c>
      <c r="S694" s="42" t="s">
        <v>280</v>
      </c>
    </row>
    <row r="695" spans="1:19">
      <c r="A695" s="44">
        <v>2015</v>
      </c>
      <c r="B695" s="44" t="s">
        <v>110</v>
      </c>
      <c r="C695" s="44" t="s">
        <v>44</v>
      </c>
      <c r="D695" s="44" t="s">
        <v>267</v>
      </c>
      <c r="E695" s="44">
        <v>177953</v>
      </c>
      <c r="F695" s="44"/>
      <c r="G695" s="44"/>
      <c r="H695" s="44">
        <v>30252</v>
      </c>
      <c r="Q695" s="42">
        <f t="shared" si="12"/>
        <v>30252</v>
      </c>
      <c r="R695" s="48">
        <v>0.17</v>
      </c>
      <c r="S695" s="42" t="s">
        <v>281</v>
      </c>
    </row>
    <row r="696" spans="1:19">
      <c r="A696" s="45">
        <v>2015</v>
      </c>
      <c r="B696" s="45" t="s">
        <v>110</v>
      </c>
      <c r="C696" s="45" t="s">
        <v>44</v>
      </c>
      <c r="D696" s="45" t="s">
        <v>268</v>
      </c>
      <c r="E696" s="45">
        <v>149639</v>
      </c>
      <c r="F696" s="45"/>
      <c r="G696" s="45"/>
      <c r="H696" s="45">
        <v>20949</v>
      </c>
      <c r="Q696" s="42">
        <f t="shared" si="12"/>
        <v>25438</v>
      </c>
      <c r="R696" s="48">
        <v>0.17</v>
      </c>
      <c r="S696" s="42" t="s">
        <v>282</v>
      </c>
    </row>
    <row r="697" spans="1:19">
      <c r="A697" s="44">
        <v>2015</v>
      </c>
      <c r="B697" s="44" t="s">
        <v>110</v>
      </c>
      <c r="C697" s="44" t="s">
        <v>44</v>
      </c>
      <c r="D697" s="44" t="s">
        <v>269</v>
      </c>
      <c r="E697" s="44">
        <v>118407</v>
      </c>
      <c r="F697" s="44"/>
      <c r="G697" s="44"/>
      <c r="H697" s="44">
        <v>16576</v>
      </c>
    </row>
    <row r="698" spans="1:19">
      <c r="A698" s="45">
        <v>2015</v>
      </c>
      <c r="B698" s="45" t="s">
        <v>110</v>
      </c>
      <c r="C698" s="45" t="s">
        <v>44</v>
      </c>
      <c r="D698" s="45" t="s">
        <v>254</v>
      </c>
      <c r="E698" s="45">
        <v>104991</v>
      </c>
      <c r="F698" s="45"/>
      <c r="G698" s="45"/>
      <c r="H698" s="45">
        <v>14698</v>
      </c>
    </row>
    <row r="699" spans="1:19">
      <c r="A699" s="44">
        <v>2015</v>
      </c>
      <c r="B699" s="44" t="s">
        <v>110</v>
      </c>
      <c r="C699" s="44" t="s">
        <v>44</v>
      </c>
      <c r="D699" s="44" t="s">
        <v>270</v>
      </c>
      <c r="E699" s="44">
        <v>91101</v>
      </c>
      <c r="F699" s="44"/>
      <c r="G699" s="44"/>
      <c r="H699" s="44">
        <v>12754</v>
      </c>
      <c r="Q699" s="42">
        <f t="shared" si="12"/>
        <v>15487</v>
      </c>
      <c r="R699" s="48">
        <v>0.17</v>
      </c>
      <c r="S699" s="42" t="s">
        <v>267</v>
      </c>
    </row>
    <row r="700" spans="1:19">
      <c r="A700" s="45">
        <v>2015</v>
      </c>
      <c r="B700" s="45" t="s">
        <v>110</v>
      </c>
      <c r="C700" s="45" t="s">
        <v>44</v>
      </c>
      <c r="D700" s="45" t="s">
        <v>271</v>
      </c>
      <c r="E700" s="45">
        <v>63953</v>
      </c>
      <c r="F700" s="45"/>
      <c r="G700" s="45"/>
      <c r="H700" s="45">
        <v>8953</v>
      </c>
      <c r="Q700" s="42">
        <f t="shared" si="12"/>
        <v>8953</v>
      </c>
      <c r="R700" s="48">
        <v>0.14000000000000001</v>
      </c>
      <c r="S700" s="42" t="s">
        <v>268</v>
      </c>
    </row>
    <row r="701" spans="1:19">
      <c r="A701" s="44">
        <v>2015</v>
      </c>
      <c r="B701" s="44" t="s">
        <v>110</v>
      </c>
      <c r="C701" s="44" t="s">
        <v>44</v>
      </c>
      <c r="D701" s="44" t="s">
        <v>272</v>
      </c>
      <c r="E701" s="44">
        <v>50568</v>
      </c>
      <c r="F701" s="44"/>
      <c r="G701" s="44"/>
      <c r="H701" s="44">
        <v>7079</v>
      </c>
      <c r="Q701" s="42">
        <f t="shared" si="12"/>
        <v>7079</v>
      </c>
      <c r="R701" s="48">
        <v>0.14000000000000001</v>
      </c>
      <c r="S701" s="42" t="s">
        <v>269</v>
      </c>
    </row>
    <row r="702" spans="1:19">
      <c r="A702" s="45">
        <v>2015</v>
      </c>
      <c r="B702" s="45" t="s">
        <v>110</v>
      </c>
      <c r="C702" s="45" t="s">
        <v>44</v>
      </c>
      <c r="D702" s="45" t="s">
        <v>273</v>
      </c>
      <c r="E702" s="45">
        <v>43228</v>
      </c>
      <c r="F702" s="45"/>
      <c r="G702" s="45"/>
      <c r="H702" s="45">
        <v>6051</v>
      </c>
      <c r="Q702" s="42">
        <f t="shared" si="12"/>
        <v>6051</v>
      </c>
      <c r="R702" s="48">
        <v>0.14000000000000001</v>
      </c>
      <c r="S702" s="42" t="s">
        <v>254</v>
      </c>
    </row>
    <row r="703" spans="1:19">
      <c r="A703" s="44">
        <v>2015</v>
      </c>
      <c r="B703" s="44" t="s">
        <v>110</v>
      </c>
      <c r="C703" s="44" t="s">
        <v>44</v>
      </c>
      <c r="D703" s="44" t="s">
        <v>274</v>
      </c>
      <c r="E703" s="44">
        <v>35044</v>
      </c>
      <c r="F703" s="44"/>
      <c r="G703" s="44"/>
      <c r="H703" s="44">
        <v>4906</v>
      </c>
      <c r="Q703" s="42">
        <f t="shared" si="12"/>
        <v>4906</v>
      </c>
      <c r="R703" s="48">
        <v>0.14000000000000001</v>
      </c>
      <c r="S703" s="42" t="s">
        <v>270</v>
      </c>
    </row>
    <row r="704" spans="1:19">
      <c r="A704" s="45">
        <v>2015</v>
      </c>
      <c r="B704" s="45" t="s">
        <v>110</v>
      </c>
      <c r="C704" s="45" t="s">
        <v>44</v>
      </c>
      <c r="D704" s="45" t="s">
        <v>275</v>
      </c>
      <c r="E704" s="45">
        <v>23621</v>
      </c>
      <c r="F704" s="45"/>
      <c r="G704" s="45"/>
      <c r="H704" s="45">
        <v>3306</v>
      </c>
      <c r="Q704" s="42">
        <f t="shared" si="12"/>
        <v>3306</v>
      </c>
      <c r="R704" s="48">
        <v>0.14000000000000001</v>
      </c>
      <c r="S704" s="42" t="s">
        <v>271</v>
      </c>
    </row>
    <row r="705" spans="1:19">
      <c r="A705" s="44">
        <v>2015</v>
      </c>
      <c r="B705" s="44" t="s">
        <v>110</v>
      </c>
      <c r="C705" s="44" t="s">
        <v>44</v>
      </c>
      <c r="D705" s="44" t="s">
        <v>276</v>
      </c>
      <c r="E705" s="44">
        <v>17732</v>
      </c>
      <c r="F705" s="44"/>
      <c r="G705" s="44"/>
      <c r="H705" s="44">
        <v>2482</v>
      </c>
      <c r="Q705" s="42">
        <f t="shared" si="12"/>
        <v>2482</v>
      </c>
      <c r="R705" s="48">
        <v>0.14000000000000001</v>
      </c>
      <c r="S705" s="42" t="s">
        <v>272</v>
      </c>
    </row>
    <row r="706" spans="1:19">
      <c r="A706" s="45">
        <v>2015</v>
      </c>
      <c r="B706" s="45" t="s">
        <v>110</v>
      </c>
      <c r="C706" s="45" t="s">
        <v>44</v>
      </c>
      <c r="D706" s="45" t="s">
        <v>277</v>
      </c>
      <c r="E706" s="45">
        <v>12670</v>
      </c>
      <c r="F706" s="45"/>
      <c r="G706" s="45"/>
      <c r="H706" s="45">
        <v>1773</v>
      </c>
      <c r="Q706" s="42">
        <f t="shared" si="12"/>
        <v>1773</v>
      </c>
      <c r="R706" s="48">
        <v>0.14000000000000001</v>
      </c>
      <c r="S706" s="42" t="s">
        <v>273</v>
      </c>
    </row>
    <row r="707" spans="1:19">
      <c r="A707" s="44">
        <v>2015</v>
      </c>
      <c r="B707" s="44" t="s">
        <v>110</v>
      </c>
      <c r="C707" s="44" t="s">
        <v>44</v>
      </c>
      <c r="D707" s="44" t="s">
        <v>278</v>
      </c>
      <c r="E707" s="44">
        <v>7954</v>
      </c>
      <c r="F707" s="44"/>
      <c r="G707" s="44"/>
      <c r="H707" s="44">
        <v>1113</v>
      </c>
      <c r="Q707" s="42">
        <f t="shared" si="12"/>
        <v>1113</v>
      </c>
      <c r="R707" s="48">
        <v>0.14000000000000001</v>
      </c>
      <c r="S707" s="42" t="s">
        <v>274</v>
      </c>
    </row>
    <row r="708" spans="1:19">
      <c r="A708" s="45">
        <v>2015</v>
      </c>
      <c r="B708" s="45" t="s">
        <v>110</v>
      </c>
      <c r="C708" s="45" t="s">
        <v>44</v>
      </c>
      <c r="D708" s="45" t="s">
        <v>279</v>
      </c>
      <c r="E708" s="45">
        <v>6231</v>
      </c>
      <c r="F708" s="45"/>
      <c r="G708" s="45"/>
      <c r="H708" s="45">
        <v>872</v>
      </c>
      <c r="Q708" s="42">
        <f t="shared" si="12"/>
        <v>872</v>
      </c>
      <c r="R708" s="48">
        <v>0.14000000000000001</v>
      </c>
      <c r="S708" s="42" t="s">
        <v>275</v>
      </c>
    </row>
    <row r="709" spans="1:19">
      <c r="A709" s="44">
        <v>2015</v>
      </c>
      <c r="B709" s="44" t="s">
        <v>110</v>
      </c>
      <c r="C709" s="44" t="s">
        <v>44</v>
      </c>
      <c r="D709" s="44" t="s">
        <v>280</v>
      </c>
      <c r="E709" s="44">
        <v>4465</v>
      </c>
      <c r="F709" s="44"/>
      <c r="G709" s="44"/>
      <c r="H709" s="44">
        <v>625</v>
      </c>
      <c r="Q709" s="42">
        <f t="shared" si="12"/>
        <v>625</v>
      </c>
      <c r="R709" s="48">
        <v>0.14000000000000001</v>
      </c>
      <c r="S709" s="42" t="s">
        <v>276</v>
      </c>
    </row>
    <row r="710" spans="1:19">
      <c r="A710" s="45">
        <v>2015</v>
      </c>
      <c r="B710" s="45" t="s">
        <v>110</v>
      </c>
      <c r="C710" s="45" t="s">
        <v>44</v>
      </c>
      <c r="D710" s="45" t="s">
        <v>281</v>
      </c>
      <c r="E710" s="45">
        <v>3208</v>
      </c>
      <c r="F710" s="45"/>
      <c r="G710" s="45"/>
      <c r="H710" s="45">
        <v>545</v>
      </c>
      <c r="Q710" s="42">
        <f t="shared" si="12"/>
        <v>449</v>
      </c>
      <c r="R710" s="48">
        <v>0.14000000000000001</v>
      </c>
      <c r="S710" s="42" t="s">
        <v>277</v>
      </c>
    </row>
    <row r="711" spans="1:19">
      <c r="A711" s="44">
        <v>2015</v>
      </c>
      <c r="B711" s="44" t="s">
        <v>110</v>
      </c>
      <c r="C711" s="44" t="s">
        <v>44</v>
      </c>
      <c r="D711" s="44" t="s">
        <v>285</v>
      </c>
      <c r="E711" s="44">
        <v>4722</v>
      </c>
      <c r="F711" s="44"/>
      <c r="G711" s="44"/>
      <c r="H711" s="44">
        <v>802</v>
      </c>
      <c r="Q711" s="42">
        <f t="shared" si="12"/>
        <v>661</v>
      </c>
      <c r="R711" s="48">
        <v>0.14000000000000001</v>
      </c>
      <c r="S711" s="42" t="s">
        <v>278</v>
      </c>
    </row>
    <row r="712" spans="1:19">
      <c r="A712" s="45">
        <v>2015</v>
      </c>
      <c r="B712" s="45" t="s">
        <v>111</v>
      </c>
      <c r="C712" s="45" t="s">
        <v>44</v>
      </c>
      <c r="D712" s="45" t="s">
        <v>267</v>
      </c>
      <c r="E712" s="45">
        <v>91257</v>
      </c>
      <c r="F712" s="45"/>
      <c r="G712" s="45"/>
      <c r="H712" s="45">
        <v>15513</v>
      </c>
      <c r="Q712" s="42">
        <f t="shared" si="12"/>
        <v>12775</v>
      </c>
      <c r="R712" s="48">
        <v>0.14000000000000001</v>
      </c>
      <c r="S712" s="42" t="s">
        <v>279</v>
      </c>
    </row>
    <row r="713" spans="1:19">
      <c r="A713" s="44">
        <v>2015</v>
      </c>
      <c r="B713" s="44" t="s">
        <v>111</v>
      </c>
      <c r="C713" s="44" t="s">
        <v>44</v>
      </c>
      <c r="D713" s="44" t="s">
        <v>268</v>
      </c>
      <c r="E713" s="44">
        <v>82278</v>
      </c>
      <c r="F713" s="44"/>
      <c r="G713" s="44"/>
      <c r="H713" s="44">
        <v>11518</v>
      </c>
      <c r="Q713" s="42">
        <f t="shared" si="12"/>
        <v>11518</v>
      </c>
      <c r="R713" s="48">
        <v>0.14000000000000001</v>
      </c>
      <c r="S713" s="42" t="s">
        <v>280</v>
      </c>
    </row>
    <row r="714" spans="1:19">
      <c r="A714" s="45">
        <v>2015</v>
      </c>
      <c r="B714" s="45" t="s">
        <v>111</v>
      </c>
      <c r="C714" s="45" t="s">
        <v>44</v>
      </c>
      <c r="D714" s="45" t="s">
        <v>269</v>
      </c>
      <c r="E714" s="45">
        <v>68895</v>
      </c>
      <c r="F714" s="45"/>
      <c r="G714" s="45"/>
      <c r="H714" s="45">
        <v>9645</v>
      </c>
      <c r="Q714" s="42">
        <f t="shared" si="12"/>
        <v>11712</v>
      </c>
      <c r="R714" s="48">
        <v>0.17</v>
      </c>
      <c r="S714" s="42" t="s">
        <v>281</v>
      </c>
    </row>
    <row r="715" spans="1:19">
      <c r="A715" s="44">
        <v>2015</v>
      </c>
      <c r="B715" s="44" t="s">
        <v>111</v>
      </c>
      <c r="C715" s="44" t="s">
        <v>44</v>
      </c>
      <c r="D715" s="44" t="s">
        <v>254</v>
      </c>
      <c r="E715" s="44">
        <v>54807</v>
      </c>
      <c r="F715" s="44"/>
      <c r="G715" s="44"/>
      <c r="H715" s="44">
        <v>7672</v>
      </c>
      <c r="Q715" s="42">
        <f t="shared" si="12"/>
        <v>9317</v>
      </c>
      <c r="R715" s="48">
        <v>0.17</v>
      </c>
      <c r="S715" s="42" t="s">
        <v>282</v>
      </c>
    </row>
    <row r="716" spans="1:19">
      <c r="A716" s="45">
        <v>2015</v>
      </c>
      <c r="B716" s="45" t="s">
        <v>111</v>
      </c>
      <c r="C716" s="45" t="s">
        <v>44</v>
      </c>
      <c r="D716" s="45" t="s">
        <v>270</v>
      </c>
      <c r="E716" s="45">
        <v>42130</v>
      </c>
      <c r="F716" s="45"/>
      <c r="G716" s="45"/>
      <c r="H716" s="45">
        <v>5898</v>
      </c>
    </row>
    <row r="717" spans="1:19">
      <c r="A717" s="44">
        <v>2015</v>
      </c>
      <c r="B717" s="44" t="s">
        <v>111</v>
      </c>
      <c r="C717" s="44" t="s">
        <v>44</v>
      </c>
      <c r="D717" s="44" t="s">
        <v>271</v>
      </c>
      <c r="E717" s="44">
        <v>27565</v>
      </c>
      <c r="F717" s="44"/>
      <c r="G717" s="44"/>
      <c r="H717" s="44">
        <v>3859</v>
      </c>
    </row>
    <row r="718" spans="1:19">
      <c r="A718" s="45">
        <v>2015</v>
      </c>
      <c r="B718" s="45" t="s">
        <v>111</v>
      </c>
      <c r="C718" s="45" t="s">
        <v>44</v>
      </c>
      <c r="D718" s="45" t="s">
        <v>272</v>
      </c>
      <c r="E718" s="45">
        <v>23419</v>
      </c>
      <c r="F718" s="45"/>
      <c r="G718" s="45"/>
      <c r="H718" s="45">
        <v>3278</v>
      </c>
      <c r="Q718" s="42">
        <f t="shared" si="12"/>
        <v>3981</v>
      </c>
      <c r="R718" s="48">
        <v>0.17</v>
      </c>
      <c r="S718" s="42" t="s">
        <v>267</v>
      </c>
    </row>
    <row r="719" spans="1:19">
      <c r="A719" s="44">
        <v>2015</v>
      </c>
      <c r="B719" s="44" t="s">
        <v>111</v>
      </c>
      <c r="C719" s="44" t="s">
        <v>44</v>
      </c>
      <c r="D719" s="44" t="s">
        <v>273</v>
      </c>
      <c r="E719" s="44">
        <v>19772</v>
      </c>
      <c r="F719" s="44"/>
      <c r="G719" s="44"/>
      <c r="H719" s="44">
        <v>2768</v>
      </c>
      <c r="Q719" s="42">
        <f t="shared" si="12"/>
        <v>2768</v>
      </c>
      <c r="R719" s="48">
        <v>0.14000000000000001</v>
      </c>
      <c r="S719" s="42" t="s">
        <v>268</v>
      </c>
    </row>
    <row r="720" spans="1:19">
      <c r="A720" s="45">
        <v>2015</v>
      </c>
      <c r="B720" s="45" t="s">
        <v>111</v>
      </c>
      <c r="C720" s="45" t="s">
        <v>44</v>
      </c>
      <c r="D720" s="45" t="s">
        <v>274</v>
      </c>
      <c r="E720" s="45">
        <v>16524</v>
      </c>
      <c r="F720" s="45"/>
      <c r="G720" s="45"/>
      <c r="H720" s="45">
        <v>2313</v>
      </c>
      <c r="Q720" s="42">
        <f t="shared" si="12"/>
        <v>2313</v>
      </c>
      <c r="R720" s="48">
        <v>0.14000000000000001</v>
      </c>
      <c r="S720" s="42" t="s">
        <v>269</v>
      </c>
    </row>
    <row r="721" spans="1:19">
      <c r="A721" s="44">
        <v>2015</v>
      </c>
      <c r="B721" s="44" t="s">
        <v>111</v>
      </c>
      <c r="C721" s="44" t="s">
        <v>44</v>
      </c>
      <c r="D721" s="44" t="s">
        <v>275</v>
      </c>
      <c r="E721" s="44">
        <v>12304</v>
      </c>
      <c r="F721" s="44"/>
      <c r="G721" s="44"/>
      <c r="H721" s="44">
        <v>1722</v>
      </c>
      <c r="Q721" s="42">
        <f t="shared" si="12"/>
        <v>1722</v>
      </c>
      <c r="R721" s="48">
        <v>0.14000000000000001</v>
      </c>
      <c r="S721" s="42" t="s">
        <v>254</v>
      </c>
    </row>
    <row r="722" spans="1:19">
      <c r="A722" s="45">
        <v>2015</v>
      </c>
      <c r="B722" s="45" t="s">
        <v>111</v>
      </c>
      <c r="C722" s="45" t="s">
        <v>44</v>
      </c>
      <c r="D722" s="45" t="s">
        <v>276</v>
      </c>
      <c r="E722" s="45">
        <v>9637</v>
      </c>
      <c r="F722" s="45"/>
      <c r="G722" s="45"/>
      <c r="H722" s="45">
        <v>1349</v>
      </c>
      <c r="Q722" s="42">
        <f t="shared" si="12"/>
        <v>1349</v>
      </c>
      <c r="R722" s="48">
        <v>0.14000000000000001</v>
      </c>
      <c r="S722" s="42" t="s">
        <v>270</v>
      </c>
    </row>
    <row r="723" spans="1:19">
      <c r="A723" s="44">
        <v>2015</v>
      </c>
      <c r="B723" s="44" t="s">
        <v>111</v>
      </c>
      <c r="C723" s="44" t="s">
        <v>44</v>
      </c>
      <c r="D723" s="44" t="s">
        <v>277</v>
      </c>
      <c r="E723" s="44">
        <v>7809</v>
      </c>
      <c r="F723" s="44"/>
      <c r="G723" s="44"/>
      <c r="H723" s="44">
        <v>1093</v>
      </c>
      <c r="Q723" s="42">
        <f t="shared" si="12"/>
        <v>1093</v>
      </c>
      <c r="R723" s="48">
        <v>0.14000000000000001</v>
      </c>
      <c r="S723" s="42" t="s">
        <v>271</v>
      </c>
    </row>
    <row r="724" spans="1:19">
      <c r="A724" s="45">
        <v>2015</v>
      </c>
      <c r="B724" s="45" t="s">
        <v>111</v>
      </c>
      <c r="C724" s="45" t="s">
        <v>44</v>
      </c>
      <c r="D724" s="45" t="s">
        <v>278</v>
      </c>
      <c r="E724" s="45">
        <v>5356</v>
      </c>
      <c r="F724" s="45"/>
      <c r="G724" s="45"/>
      <c r="H724" s="45">
        <v>749</v>
      </c>
      <c r="Q724" s="42">
        <f t="shared" si="12"/>
        <v>749</v>
      </c>
      <c r="R724" s="48">
        <v>0.14000000000000001</v>
      </c>
      <c r="S724" s="42" t="s">
        <v>272</v>
      </c>
    </row>
    <row r="725" spans="1:19">
      <c r="A725" s="44">
        <v>2015</v>
      </c>
      <c r="B725" s="44" t="s">
        <v>111</v>
      </c>
      <c r="C725" s="44" t="s">
        <v>44</v>
      </c>
      <c r="D725" s="44" t="s">
        <v>279</v>
      </c>
      <c r="E725" s="44">
        <v>4729</v>
      </c>
      <c r="F725" s="44"/>
      <c r="G725" s="44"/>
      <c r="H725" s="44">
        <v>662</v>
      </c>
      <c r="Q725" s="42">
        <f t="shared" si="12"/>
        <v>662</v>
      </c>
      <c r="R725" s="48">
        <v>0.14000000000000001</v>
      </c>
      <c r="S725" s="42" t="s">
        <v>273</v>
      </c>
    </row>
    <row r="726" spans="1:19">
      <c r="A726" s="45">
        <v>2015</v>
      </c>
      <c r="B726" s="45" t="s">
        <v>111</v>
      </c>
      <c r="C726" s="45" t="s">
        <v>44</v>
      </c>
      <c r="D726" s="45" t="s">
        <v>280</v>
      </c>
      <c r="E726" s="45">
        <v>3541</v>
      </c>
      <c r="F726" s="45"/>
      <c r="G726" s="45"/>
      <c r="H726" s="45">
        <v>495</v>
      </c>
      <c r="Q726" s="42">
        <f t="shared" si="12"/>
        <v>495</v>
      </c>
      <c r="R726" s="48">
        <v>0.14000000000000001</v>
      </c>
      <c r="S726" s="42" t="s">
        <v>274</v>
      </c>
    </row>
    <row r="727" spans="1:19">
      <c r="A727" s="44">
        <v>2015</v>
      </c>
      <c r="B727" s="44" t="s">
        <v>111</v>
      </c>
      <c r="C727" s="44" t="s">
        <v>44</v>
      </c>
      <c r="D727" s="44" t="s">
        <v>281</v>
      </c>
      <c r="E727" s="44">
        <v>3028</v>
      </c>
      <c r="F727" s="44"/>
      <c r="G727" s="44"/>
      <c r="H727" s="44">
        <v>514</v>
      </c>
      <c r="Q727" s="42">
        <f t="shared" si="12"/>
        <v>423</v>
      </c>
      <c r="R727" s="48">
        <v>0.14000000000000001</v>
      </c>
      <c r="S727" s="42" t="s">
        <v>275</v>
      </c>
    </row>
    <row r="728" spans="1:19">
      <c r="A728" s="45">
        <v>2015</v>
      </c>
      <c r="B728" s="45" t="s">
        <v>111</v>
      </c>
      <c r="C728" s="45" t="s">
        <v>44</v>
      </c>
      <c r="D728" s="45" t="s">
        <v>285</v>
      </c>
      <c r="E728" s="45">
        <v>5229</v>
      </c>
      <c r="F728" s="45"/>
      <c r="G728" s="45"/>
      <c r="H728" s="45">
        <v>888</v>
      </c>
      <c r="Q728" s="42">
        <f t="shared" si="12"/>
        <v>732</v>
      </c>
      <c r="R728" s="48">
        <v>0.14000000000000001</v>
      </c>
      <c r="S728" s="42" t="s">
        <v>276</v>
      </c>
    </row>
    <row r="729" spans="1:19">
      <c r="A729" s="44"/>
      <c r="B729" s="44"/>
      <c r="C729" s="44"/>
      <c r="D729" s="44"/>
      <c r="E729" s="44"/>
      <c r="F729" s="44"/>
      <c r="G729" s="44"/>
      <c r="H729" s="44"/>
      <c r="Q729" s="42">
        <f t="shared" si="12"/>
        <v>0</v>
      </c>
      <c r="R729" s="48">
        <v>0.14000000000000001</v>
      </c>
      <c r="S729" s="42" t="s">
        <v>277</v>
      </c>
    </row>
    <row r="730" spans="1:19">
      <c r="A730" s="45"/>
      <c r="B730" s="45"/>
      <c r="C730" s="45"/>
      <c r="D730" s="45"/>
      <c r="E730" s="45"/>
      <c r="F730" s="45"/>
      <c r="G730" s="45"/>
      <c r="H730" s="45"/>
      <c r="Q730" s="42">
        <f t="shared" si="12"/>
        <v>0</v>
      </c>
      <c r="R730" s="48">
        <v>0.14000000000000001</v>
      </c>
      <c r="S730" s="42" t="s">
        <v>278</v>
      </c>
    </row>
    <row r="731" spans="1:19">
      <c r="A731" s="44"/>
      <c r="B731" s="44"/>
      <c r="C731" s="44"/>
      <c r="D731" s="44"/>
      <c r="E731" s="44"/>
      <c r="F731" s="44"/>
      <c r="G731" s="44"/>
      <c r="H731" s="44"/>
      <c r="Q731" s="42">
        <f t="shared" si="12"/>
        <v>0</v>
      </c>
      <c r="R731" s="48">
        <v>0.14000000000000001</v>
      </c>
      <c r="S731" s="42" t="s">
        <v>279</v>
      </c>
    </row>
    <row r="732" spans="1:19">
      <c r="A732" s="45"/>
      <c r="B732" s="45"/>
      <c r="C732" s="45"/>
      <c r="D732" s="45"/>
      <c r="E732" s="45"/>
      <c r="F732" s="45"/>
      <c r="G732" s="45"/>
      <c r="H732" s="45"/>
      <c r="Q732" s="42">
        <f t="shared" si="12"/>
        <v>0</v>
      </c>
      <c r="R732" s="48">
        <v>0.14000000000000001</v>
      </c>
      <c r="S732" s="42" t="s">
        <v>280</v>
      </c>
    </row>
    <row r="733" spans="1:19">
      <c r="A733" s="44"/>
      <c r="B733" s="44"/>
      <c r="C733" s="44"/>
      <c r="D733" s="44"/>
      <c r="E733" s="44"/>
      <c r="F733" s="44"/>
      <c r="G733" s="44"/>
      <c r="H733" s="44"/>
      <c r="Q733" s="42">
        <f t="shared" si="12"/>
        <v>0</v>
      </c>
      <c r="R733" s="48">
        <v>0.17</v>
      </c>
      <c r="S733" s="42" t="s">
        <v>281</v>
      </c>
    </row>
    <row r="734" spans="1:19">
      <c r="A734" s="45"/>
      <c r="B734" s="45"/>
      <c r="C734" s="45"/>
      <c r="D734" s="45"/>
      <c r="E734" s="45"/>
      <c r="F734" s="45"/>
      <c r="G734" s="45"/>
      <c r="H734" s="45"/>
      <c r="Q734" s="42">
        <f t="shared" si="12"/>
        <v>0</v>
      </c>
      <c r="R734" s="48">
        <v>0.17</v>
      </c>
      <c r="S734" s="42" t="s">
        <v>282</v>
      </c>
    </row>
    <row r="735" spans="1:19">
      <c r="A735" s="44"/>
      <c r="B735" s="44"/>
      <c r="C735" s="44"/>
      <c r="D735" s="44"/>
      <c r="E735" s="44"/>
      <c r="F735" s="44"/>
      <c r="G735" s="44"/>
      <c r="H735" s="44"/>
    </row>
    <row r="736" spans="1:19">
      <c r="A736" s="45"/>
      <c r="B736" s="45"/>
      <c r="C736" s="45"/>
      <c r="D736" s="45"/>
      <c r="E736" s="45"/>
      <c r="F736" s="45"/>
      <c r="G736" s="45"/>
      <c r="H736" s="45"/>
    </row>
    <row r="737" spans="1:19">
      <c r="A737" s="44"/>
      <c r="B737" s="44"/>
      <c r="C737" s="44"/>
      <c r="D737" s="44"/>
      <c r="E737" s="44"/>
      <c r="F737" s="44"/>
      <c r="G737" s="44"/>
      <c r="H737" s="44"/>
      <c r="Q737" s="42" t="e">
        <f>INT(#REF!*R737)</f>
        <v>#REF!</v>
      </c>
      <c r="R737" s="48">
        <v>0.17</v>
      </c>
      <c r="S737" s="42" t="s">
        <v>267</v>
      </c>
    </row>
    <row r="738" spans="1:19">
      <c r="A738" s="45"/>
      <c r="B738" s="45"/>
      <c r="C738" s="45"/>
      <c r="D738" s="45"/>
      <c r="E738" s="45"/>
      <c r="F738" s="45"/>
      <c r="G738" s="45"/>
      <c r="H738" s="45"/>
      <c r="Q738" s="42">
        <f>INT(E737*R738)</f>
        <v>0</v>
      </c>
      <c r="R738" s="48">
        <v>0.14000000000000001</v>
      </c>
      <c r="S738" s="42" t="s">
        <v>268</v>
      </c>
    </row>
    <row r="739" spans="1:19">
      <c r="A739" s="44"/>
      <c r="B739" s="44"/>
      <c r="C739" s="44"/>
      <c r="D739" s="44"/>
      <c r="E739" s="44"/>
      <c r="F739" s="44"/>
      <c r="G739" s="44"/>
      <c r="H739" s="44"/>
      <c r="Q739" s="42">
        <f>INT(E738*R739)</f>
        <v>0</v>
      </c>
      <c r="R739" s="48">
        <v>0.14000000000000001</v>
      </c>
      <c r="S739" s="42" t="s">
        <v>269</v>
      </c>
    </row>
    <row r="740" spans="1:19">
      <c r="A740" s="45"/>
      <c r="B740" s="45"/>
      <c r="C740" s="45"/>
      <c r="D740" s="45"/>
      <c r="E740" s="45"/>
      <c r="F740" s="45"/>
      <c r="G740" s="45"/>
      <c r="H740" s="45"/>
      <c r="Q740" s="42">
        <f>INT(E739*R740)</f>
        <v>0</v>
      </c>
      <c r="R740" s="48">
        <v>0.14000000000000001</v>
      </c>
      <c r="S740" s="42" t="s">
        <v>254</v>
      </c>
    </row>
    <row r="741" spans="1:19">
      <c r="A741" s="44"/>
      <c r="B741" s="44"/>
      <c r="C741" s="44"/>
      <c r="D741" s="44"/>
      <c r="E741" s="44"/>
      <c r="F741" s="44"/>
      <c r="G741" s="44"/>
      <c r="H741" s="44"/>
      <c r="Q741" s="42">
        <f>INT(E740*R741)</f>
        <v>0</v>
      </c>
      <c r="R741" s="48">
        <v>0.14000000000000001</v>
      </c>
      <c r="S741" s="42" t="s">
        <v>270</v>
      </c>
    </row>
    <row r="742" spans="1:19">
      <c r="A742" s="45"/>
      <c r="B742" s="45"/>
      <c r="C742" s="45"/>
      <c r="D742" s="45"/>
      <c r="E742" s="45"/>
      <c r="F742" s="45"/>
      <c r="G742" s="45"/>
      <c r="H742" s="45"/>
      <c r="Q742" s="42">
        <f>INT(E741*R742)</f>
        <v>0</v>
      </c>
      <c r="R742" s="48">
        <v>0.14000000000000001</v>
      </c>
      <c r="S742" s="42" t="s">
        <v>271</v>
      </c>
    </row>
    <row r="743" spans="1:19">
      <c r="A743" s="44"/>
      <c r="B743" s="44"/>
      <c r="C743" s="44"/>
      <c r="D743" s="44"/>
      <c r="E743" s="44"/>
      <c r="F743" s="44"/>
      <c r="G743" s="44"/>
      <c r="H743" s="44"/>
      <c r="Q743" s="42">
        <f>INT(E742*R743)</f>
        <v>0</v>
      </c>
      <c r="R743" s="48">
        <v>0.14000000000000001</v>
      </c>
      <c r="S743" s="42" t="s">
        <v>272</v>
      </c>
    </row>
    <row r="744" spans="1:19">
      <c r="A744" s="45"/>
      <c r="B744" s="45"/>
      <c r="C744" s="45"/>
      <c r="D744" s="45"/>
      <c r="E744" s="45"/>
      <c r="F744" s="45"/>
      <c r="G744" s="45"/>
      <c r="H744" s="45"/>
      <c r="Q744" s="42">
        <f>INT(E743*R744)</f>
        <v>0</v>
      </c>
      <c r="R744" s="48">
        <v>0.14000000000000001</v>
      </c>
      <c r="S744" s="42" t="s">
        <v>273</v>
      </c>
    </row>
    <row r="745" spans="1:19">
      <c r="A745" s="44"/>
      <c r="B745" s="44"/>
      <c r="C745" s="44"/>
      <c r="D745" s="44"/>
      <c r="E745" s="44"/>
      <c r="F745" s="44"/>
      <c r="G745" s="44"/>
      <c r="H745" s="44"/>
      <c r="Q745" s="42">
        <f>INT(E744*R745)</f>
        <v>0</v>
      </c>
      <c r="R745" s="48">
        <v>0.14000000000000001</v>
      </c>
      <c r="S745" s="42" t="s">
        <v>274</v>
      </c>
    </row>
    <row r="746" spans="1:19">
      <c r="A746" s="45"/>
      <c r="B746" s="45"/>
      <c r="C746" s="45"/>
      <c r="D746" s="45"/>
      <c r="E746" s="45"/>
      <c r="F746" s="45"/>
      <c r="G746" s="45"/>
      <c r="H746" s="45"/>
      <c r="Q746" s="42">
        <f>INT(E745*R746)</f>
        <v>0</v>
      </c>
      <c r="R746" s="48">
        <v>0.14000000000000001</v>
      </c>
      <c r="S746" s="42" t="s">
        <v>275</v>
      </c>
    </row>
    <row r="747" spans="1:19">
      <c r="A747" s="44"/>
      <c r="B747" s="44"/>
      <c r="C747" s="44"/>
      <c r="D747" s="44"/>
      <c r="E747" s="44"/>
      <c r="F747" s="44"/>
      <c r="G747" s="44"/>
      <c r="H747" s="44"/>
      <c r="Q747" s="42">
        <f>INT(E746*R747)</f>
        <v>0</v>
      </c>
      <c r="R747" s="48">
        <v>0.14000000000000001</v>
      </c>
      <c r="S747" s="42" t="s">
        <v>276</v>
      </c>
    </row>
    <row r="748" spans="1:19">
      <c r="A748" s="45"/>
      <c r="B748" s="45"/>
      <c r="C748" s="45"/>
      <c r="D748" s="45"/>
      <c r="E748" s="45"/>
      <c r="F748" s="45"/>
      <c r="G748" s="45"/>
      <c r="H748" s="45"/>
      <c r="Q748" s="42">
        <f>INT(E747*R748)</f>
        <v>0</v>
      </c>
      <c r="R748" s="48">
        <v>0.14000000000000001</v>
      </c>
      <c r="S748" s="42" t="s">
        <v>277</v>
      </c>
    </row>
    <row r="749" spans="1:19">
      <c r="A749" s="44"/>
      <c r="B749" s="44"/>
      <c r="C749" s="44"/>
      <c r="D749" s="44"/>
      <c r="E749" s="44"/>
      <c r="F749" s="44"/>
      <c r="G749" s="44"/>
      <c r="H749" s="44"/>
      <c r="Q749" s="42">
        <f>INT(E748*R749)</f>
        <v>0</v>
      </c>
      <c r="R749" s="48">
        <v>0.14000000000000001</v>
      </c>
      <c r="S749" s="42" t="s">
        <v>278</v>
      </c>
    </row>
    <row r="750" spans="1:19">
      <c r="A750" s="45"/>
      <c r="B750" s="45"/>
      <c r="C750" s="45"/>
      <c r="D750" s="45"/>
      <c r="E750" s="45"/>
      <c r="F750" s="45"/>
      <c r="G750" s="45"/>
      <c r="H750" s="45"/>
      <c r="Q750" s="42">
        <f>INT(E749*R750)</f>
        <v>0</v>
      </c>
      <c r="R750" s="48">
        <v>0.14000000000000001</v>
      </c>
      <c r="S750" s="42" t="s">
        <v>279</v>
      </c>
    </row>
    <row r="751" spans="1:19">
      <c r="A751" s="44"/>
      <c r="B751" s="44"/>
      <c r="C751" s="44"/>
      <c r="D751" s="44"/>
      <c r="E751" s="44"/>
      <c r="F751" s="44"/>
      <c r="G751" s="44"/>
      <c r="H751" s="44"/>
      <c r="Q751" s="42">
        <f>INT(E750*R751)</f>
        <v>0</v>
      </c>
      <c r="R751" s="48">
        <v>0.14000000000000001</v>
      </c>
      <c r="S751" s="42" t="s">
        <v>280</v>
      </c>
    </row>
    <row r="752" spans="1:19">
      <c r="A752" s="45"/>
      <c r="B752" s="45"/>
      <c r="C752" s="45"/>
      <c r="D752" s="45"/>
      <c r="E752" s="45"/>
      <c r="F752" s="45"/>
      <c r="G752" s="45"/>
      <c r="H752" s="45"/>
      <c r="Q752" s="42">
        <f>INT(E751*R752)</f>
        <v>0</v>
      </c>
      <c r="R752" s="48">
        <v>0.17</v>
      </c>
      <c r="S752" s="42" t="s">
        <v>281</v>
      </c>
    </row>
    <row r="753" spans="1:19">
      <c r="A753" s="44"/>
      <c r="B753" s="44"/>
      <c r="C753" s="44"/>
      <c r="D753" s="44"/>
      <c r="E753" s="44"/>
      <c r="F753" s="44"/>
      <c r="G753" s="44"/>
      <c r="H753" s="44"/>
      <c r="Q753" s="42">
        <f>INT(E752*R753)</f>
        <v>0</v>
      </c>
      <c r="R753" s="48">
        <v>0.17</v>
      </c>
      <c r="S753" s="42" t="s">
        <v>282</v>
      </c>
    </row>
    <row r="754" spans="1:19">
      <c r="A754" s="45"/>
      <c r="B754" s="45"/>
      <c r="C754" s="45"/>
      <c r="D754" s="45"/>
      <c r="E754" s="45"/>
      <c r="F754" s="45"/>
      <c r="G754" s="45"/>
      <c r="H754" s="45"/>
    </row>
    <row r="755" spans="1:19">
      <c r="A755" s="44"/>
      <c r="B755" s="44"/>
      <c r="C755" s="44"/>
      <c r="D755" s="44"/>
      <c r="E755" s="44"/>
      <c r="F755" s="44"/>
      <c r="G755" s="44"/>
      <c r="H755" s="44"/>
    </row>
    <row r="756" spans="1:19">
      <c r="A756" s="45"/>
      <c r="B756" s="45"/>
      <c r="C756" s="45"/>
      <c r="D756" s="45"/>
      <c r="E756" s="45"/>
      <c r="F756" s="45"/>
      <c r="G756" s="45"/>
      <c r="H756" s="45"/>
      <c r="Q756" s="42">
        <f>INT(E755*R756)</f>
        <v>0</v>
      </c>
      <c r="R756" s="48">
        <v>0.17</v>
      </c>
      <c r="S756" s="42" t="s">
        <v>267</v>
      </c>
    </row>
    <row r="757" spans="1:19">
      <c r="A757" s="44"/>
      <c r="B757" s="44"/>
      <c r="C757" s="44"/>
      <c r="D757" s="44"/>
      <c r="E757" s="44"/>
      <c r="F757" s="44"/>
      <c r="G757" s="44"/>
      <c r="H757" s="44"/>
      <c r="Q757" s="42">
        <f>INT(E756*R757)</f>
        <v>0</v>
      </c>
      <c r="R757" s="48">
        <v>0.14000000000000001</v>
      </c>
      <c r="S757" s="42" t="s">
        <v>268</v>
      </c>
    </row>
    <row r="758" spans="1:19">
      <c r="A758" s="45"/>
      <c r="B758" s="45"/>
      <c r="C758" s="45"/>
      <c r="D758" s="45"/>
      <c r="E758" s="45"/>
      <c r="F758" s="45"/>
      <c r="G758" s="45"/>
      <c r="H758" s="45"/>
      <c r="Q758" s="42">
        <f>INT(E757*R758)</f>
        <v>0</v>
      </c>
      <c r="R758" s="48">
        <v>0.14000000000000001</v>
      </c>
      <c r="S758" s="42" t="s">
        <v>269</v>
      </c>
    </row>
    <row r="759" spans="1:19">
      <c r="A759" s="44"/>
      <c r="B759" s="44"/>
      <c r="C759" s="44"/>
      <c r="D759" s="44"/>
      <c r="E759" s="44"/>
      <c r="F759" s="44"/>
      <c r="G759" s="44"/>
      <c r="H759" s="44"/>
      <c r="Q759" s="42">
        <f>INT(E758*R759)</f>
        <v>0</v>
      </c>
      <c r="R759" s="48">
        <v>0.14000000000000001</v>
      </c>
      <c r="S759" s="42" t="s">
        <v>254</v>
      </c>
    </row>
    <row r="760" spans="1:19">
      <c r="A760" s="45"/>
      <c r="B760" s="45"/>
      <c r="C760" s="45"/>
      <c r="D760" s="45"/>
      <c r="E760" s="45"/>
      <c r="F760" s="45"/>
      <c r="G760" s="45"/>
      <c r="H760" s="45"/>
      <c r="Q760" s="42">
        <f>INT(E759*R760)</f>
        <v>0</v>
      </c>
      <c r="R760" s="48">
        <v>0.14000000000000001</v>
      </c>
      <c r="S760" s="42" t="s">
        <v>270</v>
      </c>
    </row>
    <row r="761" spans="1:19">
      <c r="A761" s="44"/>
      <c r="B761" s="44"/>
      <c r="C761" s="44"/>
      <c r="D761" s="44"/>
      <c r="E761" s="44"/>
      <c r="F761" s="44"/>
      <c r="G761" s="44"/>
      <c r="H761" s="44"/>
      <c r="Q761" s="42">
        <f>INT(E760*R761)</f>
        <v>0</v>
      </c>
      <c r="R761" s="48">
        <v>0.14000000000000001</v>
      </c>
      <c r="S761" s="42" t="s">
        <v>271</v>
      </c>
    </row>
    <row r="762" spans="1:19">
      <c r="A762" s="45"/>
      <c r="B762" s="45"/>
      <c r="C762" s="45"/>
      <c r="D762" s="45"/>
      <c r="E762" s="45"/>
      <c r="F762" s="45"/>
      <c r="G762" s="45"/>
      <c r="H762" s="45"/>
      <c r="Q762" s="42">
        <f>INT(E761*R762)</f>
        <v>0</v>
      </c>
      <c r="R762" s="48">
        <v>0.14000000000000001</v>
      </c>
      <c r="S762" s="42" t="s">
        <v>272</v>
      </c>
    </row>
    <row r="763" spans="1:19">
      <c r="A763" s="44"/>
      <c r="B763" s="44"/>
      <c r="C763" s="44"/>
      <c r="D763" s="44"/>
      <c r="E763" s="44"/>
      <c r="F763" s="44"/>
      <c r="G763" s="44"/>
      <c r="H763" s="44"/>
      <c r="Q763" s="42">
        <f>INT(E762*R763)</f>
        <v>0</v>
      </c>
      <c r="R763" s="48">
        <v>0.14000000000000001</v>
      </c>
      <c r="S763" s="42" t="s">
        <v>273</v>
      </c>
    </row>
    <row r="764" spans="1:19">
      <c r="A764" s="45"/>
      <c r="B764" s="45"/>
      <c r="C764" s="45"/>
      <c r="D764" s="45"/>
      <c r="E764" s="45"/>
      <c r="F764" s="45"/>
      <c r="G764" s="45"/>
      <c r="H764" s="45"/>
      <c r="Q764" s="42">
        <f>INT(E763*R764)</f>
        <v>0</v>
      </c>
      <c r="R764" s="48">
        <v>0.14000000000000001</v>
      </c>
      <c r="S764" s="42" t="s">
        <v>274</v>
      </c>
    </row>
    <row r="765" spans="1:19">
      <c r="A765" s="44"/>
      <c r="B765" s="44"/>
      <c r="C765" s="44"/>
      <c r="D765" s="44"/>
      <c r="E765" s="44"/>
      <c r="F765" s="44"/>
      <c r="G765" s="44"/>
      <c r="H765" s="44"/>
      <c r="Q765" s="42">
        <f>INT(E764*R765)</f>
        <v>0</v>
      </c>
      <c r="R765" s="48">
        <v>0.14000000000000001</v>
      </c>
      <c r="S765" s="42" t="s">
        <v>275</v>
      </c>
    </row>
    <row r="766" spans="1:19">
      <c r="A766" s="45"/>
      <c r="B766" s="45"/>
      <c r="C766" s="45"/>
      <c r="D766" s="45"/>
      <c r="E766" s="45"/>
      <c r="F766" s="45"/>
      <c r="G766" s="45"/>
      <c r="H766" s="45"/>
      <c r="Q766" s="42">
        <f>INT(E765*R766)</f>
        <v>0</v>
      </c>
      <c r="R766" s="48">
        <v>0.14000000000000001</v>
      </c>
      <c r="S766" s="42" t="s">
        <v>276</v>
      </c>
    </row>
    <row r="767" spans="1:19">
      <c r="A767" s="44"/>
      <c r="B767" s="44"/>
      <c r="C767" s="44"/>
      <c r="D767" s="44"/>
      <c r="E767" s="44"/>
      <c r="F767" s="44"/>
      <c r="G767" s="44"/>
      <c r="H767" s="44"/>
      <c r="Q767" s="42">
        <f>INT(E766*R767)</f>
        <v>0</v>
      </c>
      <c r="R767" s="48">
        <v>0.14000000000000001</v>
      </c>
      <c r="S767" s="42" t="s">
        <v>277</v>
      </c>
    </row>
    <row r="768" spans="1:19">
      <c r="A768" s="45"/>
      <c r="B768" s="45"/>
      <c r="C768" s="45"/>
      <c r="D768" s="45"/>
      <c r="E768" s="45"/>
      <c r="F768" s="45"/>
      <c r="G768" s="45"/>
      <c r="H768" s="45"/>
      <c r="Q768" s="42">
        <f>INT(E767*R768)</f>
        <v>0</v>
      </c>
      <c r="R768" s="48">
        <v>0.14000000000000001</v>
      </c>
      <c r="S768" s="42" t="s">
        <v>278</v>
      </c>
    </row>
    <row r="769" spans="1:19">
      <c r="A769" s="44"/>
      <c r="B769" s="44"/>
      <c r="C769" s="44"/>
      <c r="D769" s="44"/>
      <c r="E769" s="44"/>
      <c r="F769" s="44"/>
      <c r="G769" s="44"/>
      <c r="H769" s="44"/>
      <c r="Q769" s="42">
        <f>INT(E768*R769)</f>
        <v>0</v>
      </c>
      <c r="R769" s="48">
        <v>0.14000000000000001</v>
      </c>
      <c r="S769" s="42" t="s">
        <v>279</v>
      </c>
    </row>
    <row r="770" spans="1:19">
      <c r="A770" s="45"/>
      <c r="B770" s="45"/>
      <c r="C770" s="45"/>
      <c r="D770" s="45"/>
      <c r="E770" s="45"/>
      <c r="F770" s="45"/>
      <c r="G770" s="45"/>
      <c r="H770" s="45"/>
      <c r="Q770" s="42">
        <f>INT(E769*R770)</f>
        <v>0</v>
      </c>
      <c r="R770" s="48">
        <v>0.14000000000000001</v>
      </c>
      <c r="S770" s="42" t="s">
        <v>280</v>
      </c>
    </row>
    <row r="771" spans="1:19">
      <c r="A771" s="44"/>
      <c r="B771" s="44"/>
      <c r="C771" s="44"/>
      <c r="D771" s="44"/>
      <c r="E771" s="44"/>
      <c r="F771" s="44"/>
      <c r="G771" s="44"/>
      <c r="H771" s="44"/>
      <c r="Q771" s="42">
        <f>INT(E770*R771)</f>
        <v>0</v>
      </c>
      <c r="R771" s="48">
        <v>0.17</v>
      </c>
      <c r="S771" s="42" t="s">
        <v>281</v>
      </c>
    </row>
    <row r="772" spans="1:19">
      <c r="A772" s="45"/>
      <c r="B772" s="45"/>
      <c r="C772" s="45"/>
      <c r="D772" s="45"/>
      <c r="E772" s="45"/>
      <c r="F772" s="45"/>
      <c r="G772" s="45"/>
      <c r="H772" s="45"/>
      <c r="Q772" s="42">
        <f>INT(E771*R772)</f>
        <v>0</v>
      </c>
      <c r="R772" s="48">
        <v>0.17</v>
      </c>
      <c r="S772" s="42" t="s">
        <v>282</v>
      </c>
    </row>
    <row r="773" spans="1:19">
      <c r="A773" s="44"/>
      <c r="B773" s="44"/>
      <c r="C773" s="44"/>
      <c r="D773" s="44"/>
      <c r="E773" s="44"/>
      <c r="F773" s="44"/>
      <c r="G773" s="44"/>
      <c r="H773" s="44"/>
    </row>
    <row r="774" spans="1:19">
      <c r="A774" s="45"/>
      <c r="B774" s="45"/>
      <c r="C774" s="45"/>
      <c r="D774" s="45"/>
      <c r="E774" s="45"/>
      <c r="F774" s="45"/>
      <c r="G774" s="45"/>
      <c r="H774" s="45"/>
    </row>
    <row r="775" spans="1:19">
      <c r="A775" s="44"/>
      <c r="B775" s="44"/>
      <c r="C775" s="44"/>
      <c r="D775" s="44"/>
      <c r="E775" s="44"/>
      <c r="F775" s="44"/>
      <c r="G775" s="44"/>
      <c r="H775" s="44"/>
      <c r="Q775" s="42">
        <f>INT(E774*R775)</f>
        <v>0</v>
      </c>
      <c r="R775" s="48">
        <v>0.17</v>
      </c>
      <c r="S775" s="42" t="s">
        <v>267</v>
      </c>
    </row>
    <row r="776" spans="1:19">
      <c r="A776" s="45"/>
      <c r="B776" s="45"/>
      <c r="C776" s="45"/>
      <c r="D776" s="45"/>
      <c r="E776" s="45"/>
      <c r="F776" s="45"/>
      <c r="G776" s="45"/>
      <c r="H776" s="45"/>
      <c r="Q776" s="42">
        <f>INT(E775*R776)</f>
        <v>0</v>
      </c>
      <c r="R776" s="48">
        <v>0.14000000000000001</v>
      </c>
      <c r="S776" s="42" t="s">
        <v>268</v>
      </c>
    </row>
    <row r="777" spans="1:19">
      <c r="A777" s="44"/>
      <c r="B777" s="44"/>
      <c r="C777" s="44"/>
      <c r="D777" s="44"/>
      <c r="E777" s="44"/>
      <c r="F777" s="44"/>
      <c r="G777" s="44"/>
      <c r="H777" s="44"/>
      <c r="Q777" s="42">
        <f>INT(E776*R777)</f>
        <v>0</v>
      </c>
      <c r="R777" s="48">
        <v>0.14000000000000001</v>
      </c>
      <c r="S777" s="42" t="s">
        <v>269</v>
      </c>
    </row>
    <row r="778" spans="1:19">
      <c r="A778" s="45"/>
      <c r="B778" s="45"/>
      <c r="C778" s="45"/>
      <c r="D778" s="45"/>
      <c r="E778" s="45"/>
      <c r="F778" s="45"/>
      <c r="G778" s="45"/>
      <c r="H778" s="45"/>
      <c r="Q778" s="42">
        <f>INT(E777*R778)</f>
        <v>0</v>
      </c>
      <c r="R778" s="48">
        <v>0.14000000000000001</v>
      </c>
      <c r="S778" s="42" t="s">
        <v>254</v>
      </c>
    </row>
    <row r="779" spans="1:19">
      <c r="A779" s="44"/>
      <c r="B779" s="44"/>
      <c r="C779" s="44"/>
      <c r="D779" s="44"/>
      <c r="E779" s="44"/>
      <c r="F779" s="44"/>
      <c r="G779" s="44"/>
      <c r="H779" s="44"/>
      <c r="Q779" s="42">
        <f>INT(E778*R779)</f>
        <v>0</v>
      </c>
      <c r="R779" s="48">
        <v>0.14000000000000001</v>
      </c>
      <c r="S779" s="42" t="s">
        <v>270</v>
      </c>
    </row>
    <row r="780" spans="1:19">
      <c r="A780" s="45"/>
      <c r="B780" s="45"/>
      <c r="C780" s="45"/>
      <c r="D780" s="45"/>
      <c r="E780" s="45"/>
      <c r="F780" s="45"/>
      <c r="G780" s="45"/>
      <c r="H780" s="45"/>
      <c r="Q780" s="42">
        <f>INT(E779*R780)</f>
        <v>0</v>
      </c>
      <c r="R780" s="48">
        <v>0.14000000000000001</v>
      </c>
      <c r="S780" s="42" t="s">
        <v>271</v>
      </c>
    </row>
    <row r="781" spans="1:19">
      <c r="A781" s="44"/>
      <c r="B781" s="44"/>
      <c r="C781" s="44"/>
      <c r="D781" s="44"/>
      <c r="E781" s="44"/>
      <c r="F781" s="44"/>
      <c r="G781" s="44"/>
      <c r="H781" s="44"/>
      <c r="Q781" s="42">
        <f>INT(E780*R781)</f>
        <v>0</v>
      </c>
      <c r="R781" s="48">
        <v>0.14000000000000001</v>
      </c>
      <c r="S781" s="42" t="s">
        <v>272</v>
      </c>
    </row>
    <row r="782" spans="1:19">
      <c r="A782" s="45"/>
      <c r="B782" s="45"/>
      <c r="C782" s="45"/>
      <c r="D782" s="45"/>
      <c r="E782" s="45"/>
      <c r="F782" s="45"/>
      <c r="G782" s="45"/>
      <c r="H782" s="45"/>
      <c r="Q782" s="42">
        <f>INT(E781*R782)</f>
        <v>0</v>
      </c>
      <c r="R782" s="48">
        <v>0.14000000000000001</v>
      </c>
      <c r="S782" s="42" t="s">
        <v>273</v>
      </c>
    </row>
    <row r="783" spans="1:19">
      <c r="A783" s="44"/>
      <c r="B783" s="44"/>
      <c r="C783" s="44"/>
      <c r="D783" s="44"/>
      <c r="E783" s="44"/>
      <c r="F783" s="44"/>
      <c r="G783" s="44"/>
      <c r="H783" s="44"/>
      <c r="Q783" s="42">
        <f>INT(E782*R783)</f>
        <v>0</v>
      </c>
      <c r="R783" s="48">
        <v>0.14000000000000001</v>
      </c>
      <c r="S783" s="42" t="s">
        <v>274</v>
      </c>
    </row>
    <row r="784" spans="1:19">
      <c r="A784" s="45"/>
      <c r="B784" s="45"/>
      <c r="C784" s="45"/>
      <c r="D784" s="45"/>
      <c r="E784" s="45"/>
      <c r="F784" s="45"/>
      <c r="G784" s="45"/>
      <c r="H784" s="45"/>
      <c r="Q784" s="42">
        <f>INT(E783*R784)</f>
        <v>0</v>
      </c>
      <c r="R784" s="48">
        <v>0.14000000000000001</v>
      </c>
      <c r="S784" s="42" t="s">
        <v>275</v>
      </c>
    </row>
    <row r="785" spans="1:19">
      <c r="A785" s="44"/>
      <c r="B785" s="44"/>
      <c r="C785" s="44"/>
      <c r="D785" s="44"/>
      <c r="E785" s="44"/>
      <c r="F785" s="44"/>
      <c r="G785" s="44"/>
      <c r="H785" s="44"/>
      <c r="Q785" s="42">
        <f>INT(E784*R785)</f>
        <v>0</v>
      </c>
      <c r="R785" s="48">
        <v>0.14000000000000001</v>
      </c>
      <c r="S785" s="42" t="s">
        <v>276</v>
      </c>
    </row>
    <row r="786" spans="1:19">
      <c r="A786" s="45"/>
      <c r="B786" s="45"/>
      <c r="C786" s="45"/>
      <c r="D786" s="45"/>
      <c r="E786" s="45"/>
      <c r="F786" s="45"/>
      <c r="G786" s="45"/>
      <c r="H786" s="45"/>
      <c r="Q786" s="42">
        <f>INT(E785*R786)</f>
        <v>0</v>
      </c>
      <c r="R786" s="48">
        <v>0.14000000000000001</v>
      </c>
      <c r="S786" s="42" t="s">
        <v>277</v>
      </c>
    </row>
    <row r="787" spans="1:19">
      <c r="A787" s="44"/>
      <c r="B787" s="44"/>
      <c r="C787" s="44"/>
      <c r="D787" s="44"/>
      <c r="E787" s="44"/>
      <c r="F787" s="44"/>
      <c r="G787" s="44"/>
      <c r="H787" s="44"/>
      <c r="Q787" s="42">
        <f>INT(E786*R787)</f>
        <v>0</v>
      </c>
      <c r="R787" s="48">
        <v>0.14000000000000001</v>
      </c>
      <c r="S787" s="42" t="s">
        <v>278</v>
      </c>
    </row>
    <row r="788" spans="1:19">
      <c r="A788" s="45"/>
      <c r="B788" s="45"/>
      <c r="C788" s="45"/>
      <c r="D788" s="45"/>
      <c r="E788" s="45"/>
      <c r="F788" s="45"/>
      <c r="G788" s="45"/>
      <c r="H788" s="45"/>
      <c r="Q788" s="42">
        <f>INT(E787*R788)</f>
        <v>0</v>
      </c>
      <c r="R788" s="48">
        <v>0.14000000000000001</v>
      </c>
      <c r="S788" s="42" t="s">
        <v>279</v>
      </c>
    </row>
    <row r="789" spans="1:19">
      <c r="A789" s="44"/>
      <c r="B789" s="44"/>
      <c r="C789" s="44"/>
      <c r="D789" s="44"/>
      <c r="E789" s="44"/>
      <c r="F789" s="44"/>
      <c r="G789" s="44"/>
      <c r="H789" s="44"/>
      <c r="Q789" s="42">
        <f>INT(E788*R789)</f>
        <v>0</v>
      </c>
      <c r="R789" s="48">
        <v>0.14000000000000001</v>
      </c>
      <c r="S789" s="42" t="s">
        <v>280</v>
      </c>
    </row>
    <row r="790" spans="1:19">
      <c r="A790" s="45"/>
      <c r="B790" s="45"/>
      <c r="C790" s="45"/>
      <c r="D790" s="45"/>
      <c r="E790" s="45"/>
      <c r="F790" s="45"/>
      <c r="G790" s="45"/>
      <c r="H790" s="45"/>
      <c r="Q790" s="42">
        <f>INT(E789*R790)</f>
        <v>0</v>
      </c>
      <c r="R790" s="48">
        <v>0.17</v>
      </c>
      <c r="S790" s="42" t="s">
        <v>281</v>
      </c>
    </row>
    <row r="791" spans="1:19">
      <c r="A791" s="44"/>
      <c r="B791" s="44"/>
      <c r="C791" s="44"/>
      <c r="D791" s="44"/>
      <c r="E791" s="44"/>
      <c r="F791" s="44"/>
      <c r="G791" s="44"/>
      <c r="H791" s="44"/>
      <c r="Q791" s="42">
        <f>INT(E790*R791)</f>
        <v>0</v>
      </c>
      <c r="R791" s="48">
        <v>0.17</v>
      </c>
      <c r="S791" s="42" t="s">
        <v>282</v>
      </c>
    </row>
    <row r="792" spans="1:19">
      <c r="A792" s="45"/>
      <c r="B792" s="45"/>
      <c r="C792" s="45"/>
      <c r="D792" s="45"/>
      <c r="E792" s="45"/>
      <c r="F792" s="45"/>
      <c r="G792" s="45"/>
      <c r="H792" s="45"/>
    </row>
    <row r="793" spans="1:19">
      <c r="A793" s="44"/>
      <c r="B793" s="44"/>
      <c r="C793" s="44"/>
      <c r="D793" s="44"/>
      <c r="E793" s="44"/>
      <c r="F793" s="44"/>
      <c r="G793" s="44"/>
      <c r="H793" s="44"/>
    </row>
    <row r="794" spans="1:19">
      <c r="A794" s="45"/>
      <c r="B794" s="45"/>
      <c r="C794" s="45"/>
      <c r="D794" s="45"/>
      <c r="E794" s="45"/>
      <c r="F794" s="45"/>
      <c r="G794" s="45"/>
      <c r="H794" s="45"/>
    </row>
    <row r="795" spans="1:19">
      <c r="A795" s="44"/>
      <c r="B795" s="44"/>
      <c r="C795" s="44"/>
      <c r="D795" s="44"/>
      <c r="E795" s="44"/>
      <c r="F795" s="44"/>
      <c r="G795" s="44"/>
      <c r="H795" s="44"/>
    </row>
    <row r="796" spans="1:19">
      <c r="A796" s="45"/>
      <c r="B796" s="45"/>
      <c r="C796" s="45"/>
      <c r="D796" s="45"/>
      <c r="E796" s="45"/>
      <c r="F796" s="45"/>
      <c r="G796" s="45"/>
      <c r="H796" s="45"/>
    </row>
    <row r="797" spans="1:19">
      <c r="A797" s="44"/>
      <c r="B797" s="44"/>
      <c r="C797" s="44"/>
      <c r="D797" s="44"/>
      <c r="E797" s="44"/>
      <c r="F797" s="44"/>
      <c r="G797" s="44"/>
      <c r="H797" s="44"/>
    </row>
    <row r="798" spans="1:19">
      <c r="A798" s="45"/>
      <c r="B798" s="45"/>
      <c r="C798" s="45"/>
      <c r="D798" s="45"/>
      <c r="E798" s="45"/>
      <c r="F798" s="45"/>
      <c r="G798" s="45"/>
      <c r="H798" s="45"/>
    </row>
    <row r="799" spans="1:19">
      <c r="A799" s="44"/>
      <c r="B799" s="44"/>
      <c r="C799" s="44"/>
      <c r="D799" s="44"/>
      <c r="E799" s="44"/>
      <c r="F799" s="44"/>
      <c r="G799" s="44"/>
      <c r="H799" s="44"/>
    </row>
    <row r="800" spans="1:19">
      <c r="A800" s="45"/>
      <c r="B800" s="45"/>
      <c r="C800" s="45"/>
      <c r="D800" s="45"/>
      <c r="E800" s="45"/>
      <c r="F800" s="45"/>
      <c r="G800" s="45"/>
      <c r="H800" s="45"/>
    </row>
    <row r="801" spans="1:11">
      <c r="A801" s="44"/>
      <c r="B801" s="44"/>
      <c r="C801" s="44"/>
      <c r="D801" s="44"/>
      <c r="E801" s="44"/>
      <c r="F801" s="44"/>
      <c r="G801" s="44"/>
      <c r="H801" s="44"/>
    </row>
    <row r="802" spans="1:11">
      <c r="A802" s="45"/>
      <c r="B802" s="45"/>
      <c r="C802" s="45"/>
      <c r="D802" s="45"/>
      <c r="E802" s="45"/>
      <c r="F802" s="45"/>
      <c r="G802" s="45"/>
      <c r="H802" s="45"/>
    </row>
    <row r="803" spans="1:11">
      <c r="A803" s="44"/>
      <c r="B803" s="44"/>
      <c r="C803" s="44"/>
      <c r="D803" s="44"/>
      <c r="E803" s="44"/>
      <c r="F803" s="44"/>
      <c r="G803" s="44"/>
      <c r="H803" s="44"/>
      <c r="K803" s="42" t="s">
        <v>138</v>
      </c>
    </row>
    <row r="804" spans="1:11">
      <c r="A804" s="45"/>
      <c r="B804" s="45"/>
      <c r="C804" s="45"/>
      <c r="D804" s="45"/>
      <c r="E804" s="45"/>
      <c r="F804" s="45"/>
      <c r="G804" s="45"/>
      <c r="H804" s="45"/>
    </row>
    <row r="805" spans="1:11">
      <c r="A805" s="44"/>
      <c r="B805" s="44"/>
      <c r="C805" s="44"/>
      <c r="D805" s="44"/>
      <c r="E805" s="44"/>
      <c r="F805" s="44"/>
      <c r="G805" s="44"/>
      <c r="H805" s="44"/>
    </row>
    <row r="806" spans="1:11">
      <c r="A806" s="45"/>
      <c r="B806" s="45"/>
      <c r="C806" s="45"/>
      <c r="D806" s="45"/>
      <c r="E806" s="45"/>
      <c r="F806" s="45"/>
      <c r="G806" s="45"/>
      <c r="H806" s="45"/>
    </row>
    <row r="807" spans="1:11">
      <c r="A807" s="44"/>
      <c r="B807" s="44"/>
      <c r="C807" s="44"/>
      <c r="D807" s="44"/>
      <c r="E807" s="44"/>
      <c r="F807" s="44"/>
      <c r="G807" s="44"/>
      <c r="H807" s="44"/>
    </row>
    <row r="808" spans="1:11">
      <c r="A808" s="45"/>
      <c r="B808" s="45"/>
      <c r="C808" s="45"/>
      <c r="D808" s="45"/>
      <c r="E808" s="45"/>
      <c r="F808" s="45"/>
      <c r="G808" s="45"/>
      <c r="H808" s="45"/>
    </row>
    <row r="809" spans="1:11">
      <c r="A809" s="44"/>
      <c r="B809" s="44"/>
      <c r="C809" s="44"/>
      <c r="D809" s="44"/>
      <c r="E809" s="44"/>
      <c r="F809" s="44"/>
      <c r="G809" s="44"/>
      <c r="H809" s="44"/>
    </row>
    <row r="810" spans="1:11">
      <c r="A810" s="45"/>
      <c r="B810" s="45"/>
      <c r="C810" s="45"/>
      <c r="D810" s="45"/>
      <c r="E810" s="45"/>
      <c r="F810" s="45"/>
      <c r="G810" s="45"/>
      <c r="H810" s="45"/>
    </row>
    <row r="811" spans="1:11">
      <c r="A811" s="44"/>
      <c r="B811" s="44"/>
      <c r="C811" s="44"/>
      <c r="D811" s="44"/>
      <c r="E811" s="44"/>
      <c r="F811" s="44"/>
      <c r="G811" s="44"/>
      <c r="H811" s="44"/>
    </row>
    <row r="812" spans="1:11">
      <c r="A812" s="45"/>
      <c r="B812" s="45"/>
      <c r="C812" s="45"/>
      <c r="D812" s="45"/>
      <c r="E812" s="45"/>
      <c r="F812" s="45"/>
      <c r="G812" s="45"/>
      <c r="H812" s="45"/>
    </row>
    <row r="813" spans="1:11">
      <c r="A813" s="44"/>
      <c r="B813" s="44"/>
      <c r="C813" s="44"/>
      <c r="D813" s="44"/>
      <c r="E813" s="44"/>
      <c r="F813" s="44"/>
      <c r="G813" s="44"/>
      <c r="H813" s="44"/>
    </row>
    <row r="814" spans="1:11">
      <c r="A814" s="45"/>
      <c r="B814" s="45"/>
      <c r="C814" s="45"/>
      <c r="D814" s="45"/>
      <c r="E814" s="45"/>
      <c r="F814" s="45"/>
      <c r="G814" s="45"/>
      <c r="H814" s="45"/>
    </row>
    <row r="815" spans="1:11">
      <c r="A815" s="44"/>
      <c r="B815" s="44"/>
      <c r="C815" s="44"/>
      <c r="D815" s="44"/>
      <c r="E815" s="44"/>
      <c r="F815" s="44"/>
      <c r="G815" s="44"/>
      <c r="H815" s="44"/>
    </row>
    <row r="816" spans="1:11">
      <c r="A816" s="45"/>
      <c r="B816" s="45"/>
      <c r="C816" s="45"/>
      <c r="D816" s="45"/>
      <c r="E816" s="45"/>
      <c r="F816" s="45"/>
      <c r="G816" s="45"/>
      <c r="H816" s="45"/>
    </row>
    <row r="817" spans="1:8">
      <c r="A817" s="44"/>
      <c r="B817" s="44"/>
      <c r="C817" s="44"/>
      <c r="D817" s="44"/>
      <c r="E817" s="44"/>
      <c r="F817" s="44"/>
      <c r="G817" s="44"/>
      <c r="H817" s="44"/>
    </row>
    <row r="818" spans="1:8">
      <c r="A818" s="45"/>
      <c r="B818" s="45"/>
      <c r="C818" s="45"/>
      <c r="D818" s="45"/>
      <c r="E818" s="45"/>
      <c r="F818" s="45"/>
      <c r="G818" s="45"/>
      <c r="H818" s="45"/>
    </row>
    <row r="819" spans="1:8">
      <c r="A819" s="44"/>
      <c r="B819" s="44"/>
      <c r="C819" s="44"/>
      <c r="D819" s="44"/>
      <c r="E819" s="44"/>
      <c r="F819" s="44"/>
      <c r="G819" s="44"/>
      <c r="H819" s="44"/>
    </row>
    <row r="820" spans="1:8">
      <c r="A820" s="45"/>
      <c r="B820" s="45"/>
      <c r="C820" s="45"/>
      <c r="D820" s="45"/>
      <c r="E820" s="45"/>
      <c r="F820" s="45"/>
      <c r="G820" s="45"/>
      <c r="H820" s="45"/>
    </row>
    <row r="821" spans="1:8">
      <c r="A821" s="44"/>
      <c r="B821" s="44"/>
      <c r="C821" s="44"/>
      <c r="D821" s="44"/>
      <c r="E821" s="44"/>
      <c r="F821" s="44"/>
      <c r="G821" s="44"/>
      <c r="H821" s="44"/>
    </row>
    <row r="822" spans="1:8">
      <c r="A822" s="45"/>
      <c r="B822" s="45"/>
      <c r="C822" s="45"/>
      <c r="D822" s="45"/>
      <c r="E822" s="45"/>
      <c r="F822" s="45"/>
      <c r="G822" s="45"/>
      <c r="H822" s="45"/>
    </row>
    <row r="823" spans="1:8">
      <c r="A823" s="44"/>
      <c r="B823" s="44"/>
      <c r="C823" s="44"/>
      <c r="D823" s="44"/>
      <c r="E823" s="44"/>
      <c r="F823" s="44"/>
      <c r="G823" s="44"/>
      <c r="H823" s="44"/>
    </row>
    <row r="824" spans="1:8">
      <c r="A824" s="45"/>
      <c r="B824" s="45"/>
      <c r="C824" s="45"/>
      <c r="D824" s="45"/>
      <c r="E824" s="45"/>
      <c r="F824" s="45"/>
      <c r="G824" s="45"/>
      <c r="H824" s="45"/>
    </row>
    <row r="825" spans="1:8">
      <c r="A825" s="44"/>
      <c r="B825" s="44"/>
      <c r="C825" s="44"/>
      <c r="D825" s="44"/>
      <c r="E825" s="44"/>
      <c r="F825" s="44"/>
      <c r="G825" s="44"/>
      <c r="H825" s="44"/>
    </row>
    <row r="826" spans="1:8">
      <c r="A826" s="45"/>
      <c r="B826" s="45"/>
      <c r="C826" s="45"/>
      <c r="D826" s="45"/>
      <c r="E826" s="45"/>
      <c r="F826" s="45"/>
      <c r="G826" s="45"/>
      <c r="H826" s="45"/>
    </row>
    <row r="827" spans="1:8">
      <c r="A827" s="44"/>
      <c r="B827" s="44"/>
      <c r="C827" s="44"/>
      <c r="D827" s="44"/>
      <c r="E827" s="44"/>
      <c r="F827" s="44"/>
      <c r="G827" s="44"/>
      <c r="H827" s="44"/>
    </row>
    <row r="828" spans="1:8">
      <c r="A828" s="45"/>
      <c r="B828" s="45"/>
      <c r="C828" s="45"/>
      <c r="D828" s="45"/>
      <c r="E828" s="45"/>
      <c r="F828" s="45"/>
      <c r="G828" s="45"/>
      <c r="H828" s="45"/>
    </row>
    <row r="829" spans="1:8">
      <c r="A829" s="44"/>
      <c r="B829" s="44"/>
      <c r="C829" s="44"/>
      <c r="D829" s="44"/>
      <c r="E829" s="44"/>
      <c r="F829" s="44"/>
      <c r="G829" s="44"/>
      <c r="H829" s="44"/>
    </row>
    <row r="830" spans="1:8">
      <c r="A830" s="45"/>
      <c r="B830" s="45"/>
      <c r="C830" s="45"/>
      <c r="D830" s="45"/>
      <c r="E830" s="45"/>
      <c r="F830" s="45"/>
      <c r="G830" s="45"/>
      <c r="H830" s="45"/>
    </row>
    <row r="831" spans="1:8">
      <c r="A831" s="44"/>
      <c r="B831" s="44"/>
      <c r="C831" s="44"/>
      <c r="D831" s="44"/>
      <c r="E831" s="44"/>
      <c r="F831" s="44"/>
      <c r="G831" s="44"/>
      <c r="H831" s="44"/>
    </row>
    <row r="832" spans="1:8">
      <c r="A832" s="45"/>
      <c r="B832" s="45"/>
      <c r="C832" s="45"/>
      <c r="D832" s="45"/>
      <c r="E832" s="45"/>
      <c r="F832" s="45"/>
      <c r="G832" s="45"/>
      <c r="H832" s="45"/>
    </row>
    <row r="833" spans="1:8">
      <c r="A833" s="44"/>
      <c r="B833" s="44"/>
      <c r="C833" s="44"/>
      <c r="D833" s="44"/>
      <c r="E833" s="44"/>
      <c r="F833" s="44"/>
      <c r="G833" s="44"/>
      <c r="H833" s="44"/>
    </row>
    <row r="834" spans="1:8">
      <c r="A834" s="45"/>
      <c r="B834" s="45"/>
      <c r="C834" s="45"/>
      <c r="D834" s="45"/>
      <c r="E834" s="45"/>
      <c r="F834" s="45"/>
      <c r="G834" s="45"/>
      <c r="H834" s="45"/>
    </row>
    <row r="835" spans="1:8">
      <c r="A835" s="44"/>
      <c r="B835" s="44"/>
      <c r="C835" s="44"/>
      <c r="D835" s="44"/>
      <c r="E835" s="44"/>
      <c r="F835" s="44"/>
      <c r="G835" s="44"/>
      <c r="H835" s="44"/>
    </row>
    <row r="836" spans="1:8">
      <c r="A836" s="45"/>
      <c r="B836" s="45"/>
      <c r="C836" s="45"/>
      <c r="D836" s="45"/>
      <c r="E836" s="45"/>
      <c r="F836" s="45"/>
      <c r="G836" s="45"/>
      <c r="H836" s="45"/>
    </row>
    <row r="837" spans="1:8">
      <c r="A837" s="44"/>
      <c r="B837" s="44"/>
      <c r="C837" s="44"/>
      <c r="D837" s="44"/>
      <c r="E837" s="44"/>
      <c r="F837" s="44"/>
      <c r="G837" s="44"/>
      <c r="H837" s="44"/>
    </row>
    <row r="838" spans="1:8">
      <c r="A838" s="45"/>
      <c r="B838" s="45"/>
      <c r="C838" s="45"/>
      <c r="D838" s="45"/>
      <c r="E838" s="45"/>
      <c r="F838" s="45"/>
      <c r="G838" s="45"/>
      <c r="H838" s="45"/>
    </row>
    <row r="839" spans="1:8">
      <c r="A839" s="44"/>
      <c r="B839" s="44"/>
      <c r="C839" s="44"/>
      <c r="D839" s="44"/>
      <c r="E839" s="44"/>
      <c r="F839" s="44"/>
      <c r="G839" s="44"/>
      <c r="H839" s="44"/>
    </row>
    <row r="840" spans="1:8">
      <c r="A840" s="45"/>
      <c r="B840" s="45"/>
      <c r="C840" s="45"/>
      <c r="D840" s="45"/>
      <c r="E840" s="45"/>
      <c r="F840" s="45"/>
      <c r="G840" s="45"/>
      <c r="H840" s="45"/>
    </row>
    <row r="841" spans="1:8">
      <c r="A841" s="44"/>
      <c r="B841" s="44"/>
      <c r="C841" s="44"/>
      <c r="D841" s="44"/>
      <c r="E841" s="44"/>
      <c r="F841" s="44"/>
      <c r="G841" s="44"/>
      <c r="H841" s="44"/>
    </row>
    <row r="842" spans="1:8">
      <c r="A842" s="45"/>
      <c r="B842" s="45"/>
      <c r="C842" s="45"/>
      <c r="D842" s="45"/>
      <c r="E842" s="45"/>
      <c r="F842" s="45"/>
      <c r="G842" s="45"/>
      <c r="H842" s="45"/>
    </row>
    <row r="843" spans="1:8">
      <c r="A843" s="44"/>
      <c r="B843" s="44"/>
      <c r="C843" s="44"/>
      <c r="D843" s="44"/>
      <c r="E843" s="44"/>
      <c r="F843" s="44"/>
      <c r="G843" s="44"/>
      <c r="H843" s="44"/>
    </row>
    <row r="844" spans="1:8">
      <c r="A844" s="45"/>
      <c r="B844" s="45"/>
      <c r="C844" s="45"/>
      <c r="D844" s="45"/>
      <c r="E844" s="45"/>
      <c r="F844" s="45"/>
      <c r="G844" s="45"/>
      <c r="H844" s="45"/>
    </row>
    <row r="845" spans="1:8">
      <c r="A845" s="44"/>
      <c r="B845" s="44"/>
      <c r="C845" s="44"/>
      <c r="D845" s="44"/>
      <c r="E845" s="44"/>
      <c r="F845" s="44"/>
      <c r="G845" s="44"/>
      <c r="H845" s="44"/>
    </row>
    <row r="846" spans="1:8">
      <c r="A846" s="45"/>
      <c r="B846" s="45"/>
      <c r="C846" s="45"/>
      <c r="D846" s="45"/>
      <c r="E846" s="45"/>
      <c r="F846" s="45"/>
      <c r="G846" s="45"/>
      <c r="H846" s="45"/>
    </row>
    <row r="847" spans="1:8">
      <c r="A847" s="44"/>
      <c r="B847" s="44"/>
      <c r="C847" s="44"/>
      <c r="D847" s="44"/>
      <c r="E847" s="44"/>
      <c r="F847" s="44"/>
      <c r="G847" s="44"/>
      <c r="H847" s="44"/>
    </row>
    <row r="848" spans="1:8">
      <c r="A848" s="45"/>
      <c r="B848" s="45"/>
      <c r="C848" s="45"/>
      <c r="D848" s="45"/>
      <c r="E848" s="45"/>
      <c r="F848" s="45"/>
      <c r="G848" s="45"/>
      <c r="H848" s="45"/>
    </row>
    <row r="849" spans="1:8">
      <c r="A849" s="44"/>
      <c r="B849" s="44"/>
      <c r="C849" s="44"/>
      <c r="D849" s="44"/>
      <c r="E849" s="44"/>
      <c r="F849" s="44"/>
      <c r="G849" s="44"/>
      <c r="H849" s="44"/>
    </row>
    <row r="850" spans="1:8">
      <c r="A850" s="45"/>
      <c r="B850" s="45"/>
      <c r="C850" s="45"/>
      <c r="D850" s="45"/>
      <c r="E850" s="45"/>
      <c r="F850" s="45"/>
      <c r="G850" s="45"/>
      <c r="H850" s="45"/>
    </row>
    <row r="851" spans="1:8">
      <c r="A851" s="44"/>
      <c r="B851" s="44"/>
      <c r="C851" s="44"/>
      <c r="D851" s="44"/>
      <c r="E851" s="44"/>
      <c r="F851" s="44"/>
      <c r="G851" s="44"/>
      <c r="H851" s="44"/>
    </row>
    <row r="852" spans="1:8">
      <c r="A852" s="45"/>
      <c r="B852" s="45"/>
      <c r="C852" s="45"/>
      <c r="D852" s="45"/>
      <c r="E852" s="45"/>
      <c r="F852" s="45"/>
      <c r="G852" s="45"/>
      <c r="H852" s="45"/>
    </row>
    <row r="853" spans="1:8">
      <c r="A853" s="44"/>
      <c r="B853" s="44"/>
      <c r="C853" s="44"/>
      <c r="D853" s="44"/>
      <c r="E853" s="44"/>
      <c r="F853" s="44"/>
      <c r="G853" s="44"/>
      <c r="H853" s="44"/>
    </row>
    <row r="854" spans="1:8">
      <c r="A854" s="45"/>
      <c r="B854" s="45"/>
      <c r="C854" s="45"/>
      <c r="D854" s="45"/>
      <c r="E854" s="45"/>
      <c r="F854" s="45"/>
      <c r="G854" s="45"/>
      <c r="H854" s="45"/>
    </row>
    <row r="855" spans="1:8">
      <c r="A855" s="44"/>
      <c r="B855" s="44"/>
      <c r="C855" s="44"/>
      <c r="D855" s="44"/>
      <c r="E855" s="44"/>
      <c r="F855" s="44"/>
      <c r="G855" s="44"/>
      <c r="H855" s="44"/>
    </row>
    <row r="856" spans="1:8">
      <c r="A856" s="45"/>
      <c r="B856" s="45"/>
      <c r="C856" s="45"/>
      <c r="D856" s="45"/>
      <c r="E856" s="45"/>
      <c r="F856" s="45"/>
      <c r="G856" s="45"/>
      <c r="H856" s="45"/>
    </row>
    <row r="857" spans="1:8">
      <c r="A857" s="44"/>
      <c r="B857" s="44"/>
      <c r="C857" s="44"/>
      <c r="D857" s="44"/>
      <c r="E857" s="44"/>
      <c r="F857" s="44"/>
      <c r="G857" s="44"/>
      <c r="H857" s="44"/>
    </row>
    <row r="858" spans="1:8">
      <c r="A858" s="45"/>
      <c r="B858" s="45"/>
      <c r="C858" s="45"/>
      <c r="D858" s="45"/>
      <c r="E858" s="45"/>
      <c r="F858" s="45"/>
      <c r="G858" s="45"/>
      <c r="H858" s="45"/>
    </row>
    <row r="859" spans="1:8">
      <c r="A859" s="44"/>
      <c r="B859" s="44"/>
      <c r="C859" s="44"/>
      <c r="D859" s="44"/>
      <c r="E859" s="44"/>
      <c r="F859" s="44"/>
      <c r="G859" s="44"/>
      <c r="H859" s="44"/>
    </row>
    <row r="860" spans="1:8">
      <c r="A860" s="45"/>
      <c r="B860" s="45"/>
      <c r="C860" s="45"/>
      <c r="D860" s="45"/>
      <c r="E860" s="45"/>
      <c r="F860" s="45"/>
      <c r="G860" s="45"/>
      <c r="H860" s="45"/>
    </row>
    <row r="861" spans="1:8">
      <c r="A861" s="44"/>
      <c r="B861" s="44"/>
      <c r="C861" s="44"/>
      <c r="D861" s="44"/>
      <c r="E861" s="44"/>
      <c r="F861" s="44"/>
      <c r="G861" s="44"/>
      <c r="H861" s="44"/>
    </row>
    <row r="862" spans="1:8">
      <c r="A862" s="45"/>
      <c r="B862" s="45"/>
      <c r="C862" s="45"/>
      <c r="D862" s="45"/>
      <c r="E862" s="45"/>
      <c r="F862" s="45"/>
      <c r="G862" s="45"/>
      <c r="H862" s="45"/>
    </row>
    <row r="863" spans="1:8">
      <c r="A863" s="44"/>
      <c r="B863" s="44"/>
      <c r="C863" s="44"/>
      <c r="D863" s="44"/>
      <c r="E863" s="44"/>
      <c r="F863" s="44"/>
      <c r="G863" s="44"/>
      <c r="H863" s="44"/>
    </row>
    <row r="864" spans="1:8">
      <c r="A864" s="45"/>
      <c r="B864" s="45"/>
      <c r="C864" s="45"/>
      <c r="D864" s="45"/>
      <c r="E864" s="45"/>
      <c r="F864" s="45"/>
      <c r="G864" s="45"/>
      <c r="H864" s="45"/>
    </row>
    <row r="865" spans="1:8">
      <c r="A865" s="44"/>
      <c r="B865" s="44"/>
      <c r="C865" s="44"/>
      <c r="D865" s="44"/>
      <c r="E865" s="44"/>
      <c r="F865" s="44"/>
      <c r="G865" s="44"/>
      <c r="H865" s="44"/>
    </row>
    <row r="866" spans="1:8">
      <c r="A866" s="45"/>
      <c r="B866" s="45"/>
      <c r="C866" s="45"/>
      <c r="D866" s="45"/>
      <c r="E866" s="45"/>
      <c r="F866" s="45"/>
      <c r="G866" s="45"/>
      <c r="H866" s="45"/>
    </row>
    <row r="867" spans="1:8">
      <c r="A867" s="44"/>
      <c r="B867" s="44"/>
      <c r="C867" s="44"/>
      <c r="D867" s="44"/>
      <c r="E867" s="44"/>
      <c r="F867" s="44"/>
      <c r="G867" s="44"/>
      <c r="H867" s="44"/>
    </row>
    <row r="868" spans="1:8">
      <c r="A868" s="45"/>
      <c r="B868" s="45"/>
      <c r="C868" s="45"/>
      <c r="D868" s="45"/>
      <c r="E868" s="45"/>
      <c r="F868" s="45"/>
      <c r="G868" s="45"/>
      <c r="H868" s="45"/>
    </row>
    <row r="869" spans="1:8">
      <c r="A869" s="44"/>
      <c r="B869" s="44"/>
      <c r="C869" s="44"/>
      <c r="D869" s="44"/>
      <c r="E869" s="44"/>
      <c r="F869" s="44"/>
      <c r="G869" s="44"/>
      <c r="H869" s="44"/>
    </row>
    <row r="870" spans="1:8">
      <c r="A870" s="45"/>
      <c r="B870" s="45"/>
      <c r="C870" s="45"/>
      <c r="D870" s="45"/>
      <c r="E870" s="45"/>
      <c r="F870" s="45"/>
      <c r="G870" s="45"/>
      <c r="H870" s="45"/>
    </row>
    <row r="871" spans="1:8">
      <c r="A871" s="44"/>
      <c r="B871" s="44"/>
      <c r="C871" s="44"/>
      <c r="D871" s="44"/>
      <c r="E871" s="44"/>
      <c r="F871" s="44"/>
      <c r="G871" s="44"/>
      <c r="H871" s="44"/>
    </row>
    <row r="872" spans="1:8">
      <c r="A872" s="45"/>
      <c r="B872" s="45"/>
      <c r="C872" s="45"/>
      <c r="D872" s="45"/>
      <c r="E872" s="45"/>
      <c r="F872" s="45"/>
      <c r="G872" s="45"/>
      <c r="H872" s="45"/>
    </row>
    <row r="873" spans="1:8">
      <c r="A873" s="44"/>
      <c r="B873" s="44"/>
      <c r="C873" s="44"/>
      <c r="D873" s="44"/>
      <c r="E873" s="44"/>
      <c r="F873" s="44"/>
      <c r="G873" s="44"/>
      <c r="H873" s="44"/>
    </row>
    <row r="874" spans="1:8">
      <c r="A874" s="45"/>
      <c r="B874" s="45"/>
      <c r="C874" s="45"/>
      <c r="D874" s="45"/>
      <c r="E874" s="45"/>
      <c r="F874" s="45"/>
      <c r="G874" s="45"/>
      <c r="H874" s="45"/>
    </row>
    <row r="875" spans="1:8">
      <c r="A875" s="44"/>
      <c r="B875" s="44"/>
      <c r="C875" s="44"/>
      <c r="D875" s="44"/>
      <c r="E875" s="44"/>
      <c r="F875" s="44"/>
      <c r="G875" s="44"/>
      <c r="H875" s="44"/>
    </row>
    <row r="876" spans="1:8">
      <c r="A876" s="45"/>
      <c r="B876" s="45"/>
      <c r="C876" s="45"/>
      <c r="D876" s="45"/>
      <c r="E876" s="45"/>
      <c r="F876" s="45"/>
      <c r="G876" s="45"/>
      <c r="H876" s="45"/>
    </row>
    <row r="877" spans="1:8">
      <c r="A877" s="44"/>
      <c r="B877" s="44"/>
      <c r="C877" s="44"/>
      <c r="D877" s="44"/>
      <c r="E877" s="44"/>
      <c r="F877" s="44"/>
      <c r="G877" s="44"/>
      <c r="H877" s="44"/>
    </row>
    <row r="878" spans="1:8">
      <c r="A878" s="45"/>
      <c r="B878" s="45"/>
      <c r="C878" s="45"/>
      <c r="D878" s="45"/>
      <c r="E878" s="45"/>
      <c r="F878" s="45"/>
      <c r="G878" s="45"/>
      <c r="H878" s="45"/>
    </row>
    <row r="879" spans="1:8">
      <c r="A879" s="44"/>
      <c r="B879" s="44"/>
      <c r="C879" s="44"/>
      <c r="D879" s="44"/>
      <c r="E879" s="44"/>
      <c r="F879" s="44"/>
      <c r="G879" s="44"/>
      <c r="H879" s="44"/>
    </row>
    <row r="880" spans="1:8">
      <c r="A880" s="45"/>
      <c r="B880" s="45"/>
      <c r="C880" s="45"/>
      <c r="D880" s="45"/>
      <c r="E880" s="45"/>
      <c r="F880" s="45"/>
      <c r="G880" s="45"/>
      <c r="H880" s="45"/>
    </row>
    <row r="881" spans="1:8">
      <c r="A881" s="44"/>
      <c r="B881" s="44"/>
      <c r="C881" s="44"/>
      <c r="D881" s="44"/>
      <c r="E881" s="44"/>
      <c r="F881" s="44"/>
      <c r="G881" s="44"/>
      <c r="H881" s="44"/>
    </row>
    <row r="882" spans="1:8">
      <c r="A882" s="45"/>
      <c r="B882" s="45"/>
      <c r="C882" s="45"/>
      <c r="D882" s="45"/>
      <c r="E882" s="45"/>
      <c r="F882" s="45"/>
      <c r="G882" s="45"/>
      <c r="H882" s="45"/>
    </row>
    <row r="883" spans="1:8">
      <c r="A883" s="44"/>
      <c r="B883" s="44"/>
      <c r="C883" s="44"/>
      <c r="D883" s="44"/>
      <c r="E883" s="44"/>
      <c r="F883" s="44"/>
      <c r="G883" s="44"/>
      <c r="H883" s="44"/>
    </row>
    <row r="884" spans="1:8">
      <c r="A884" s="45"/>
      <c r="B884" s="45"/>
      <c r="C884" s="45"/>
      <c r="D884" s="45"/>
      <c r="E884" s="45"/>
      <c r="F884" s="45"/>
      <c r="G884" s="45"/>
      <c r="H884" s="45"/>
    </row>
    <row r="885" spans="1:8">
      <c r="A885" s="44"/>
      <c r="B885" s="44"/>
      <c r="C885" s="44"/>
      <c r="D885" s="44"/>
      <c r="E885" s="44"/>
      <c r="F885" s="44"/>
      <c r="G885" s="44"/>
      <c r="H885" s="44"/>
    </row>
    <row r="886" spans="1:8">
      <c r="A886" s="45"/>
      <c r="B886" s="45"/>
      <c r="C886" s="45"/>
      <c r="D886" s="45"/>
      <c r="E886" s="45"/>
      <c r="F886" s="45"/>
      <c r="G886" s="45"/>
      <c r="H886" s="45"/>
    </row>
    <row r="887" spans="1:8">
      <c r="A887" s="44"/>
      <c r="B887" s="44"/>
      <c r="C887" s="44"/>
      <c r="D887" s="44"/>
      <c r="E887" s="44"/>
      <c r="F887" s="44"/>
      <c r="G887" s="44"/>
      <c r="H887" s="44"/>
    </row>
    <row r="888" spans="1:8">
      <c r="A888" s="45"/>
      <c r="B888" s="45"/>
      <c r="C888" s="45"/>
      <c r="D888" s="45"/>
      <c r="E888" s="45"/>
      <c r="F888" s="45"/>
      <c r="G888" s="45"/>
      <c r="H888" s="45"/>
    </row>
    <row r="889" spans="1:8">
      <c r="A889" s="44"/>
      <c r="B889" s="44"/>
      <c r="C889" s="44"/>
      <c r="D889" s="44"/>
      <c r="E889" s="44"/>
      <c r="F889" s="44"/>
      <c r="G889" s="44"/>
      <c r="H889" s="44"/>
    </row>
    <row r="890" spans="1:8">
      <c r="A890" s="45"/>
      <c r="B890" s="45"/>
      <c r="C890" s="45"/>
      <c r="D890" s="45"/>
      <c r="E890" s="45"/>
      <c r="F890" s="45"/>
      <c r="G890" s="45"/>
      <c r="H890" s="45"/>
    </row>
    <row r="891" spans="1:8">
      <c r="A891" s="44"/>
      <c r="B891" s="44"/>
      <c r="C891" s="44"/>
      <c r="D891" s="44"/>
      <c r="E891" s="44"/>
      <c r="F891" s="44"/>
      <c r="G891" s="44"/>
      <c r="H891" s="44"/>
    </row>
    <row r="892" spans="1:8">
      <c r="A892" s="45"/>
      <c r="B892" s="45"/>
      <c r="C892" s="45"/>
      <c r="D892" s="45"/>
      <c r="E892" s="45"/>
      <c r="F892" s="45"/>
      <c r="G892" s="45"/>
      <c r="H892" s="45"/>
    </row>
    <row r="893" spans="1:8">
      <c r="A893" s="44"/>
      <c r="B893" s="44"/>
      <c r="C893" s="44"/>
      <c r="D893" s="44"/>
      <c r="E893" s="44"/>
      <c r="F893" s="44"/>
      <c r="G893" s="44"/>
      <c r="H893" s="44"/>
    </row>
    <row r="894" spans="1:8">
      <c r="A894" s="45"/>
      <c r="B894" s="45"/>
      <c r="C894" s="45"/>
      <c r="D894" s="45"/>
      <c r="E894" s="45"/>
      <c r="F894" s="45"/>
      <c r="G894" s="45"/>
      <c r="H894" s="45"/>
    </row>
    <row r="895" spans="1:8">
      <c r="A895" s="44"/>
      <c r="B895" s="44"/>
      <c r="C895" s="44"/>
      <c r="D895" s="44"/>
      <c r="E895" s="44"/>
      <c r="F895" s="44"/>
      <c r="G895" s="44"/>
      <c r="H895" s="44"/>
    </row>
    <row r="896" spans="1:8">
      <c r="A896" s="45"/>
      <c r="B896" s="45"/>
      <c r="C896" s="45"/>
      <c r="D896" s="45"/>
      <c r="E896" s="45"/>
      <c r="F896" s="45"/>
      <c r="G896" s="45"/>
      <c r="H896" s="45"/>
    </row>
    <row r="897" spans="1:8">
      <c r="A897" s="44"/>
      <c r="B897" s="44"/>
      <c r="C897" s="44"/>
      <c r="D897" s="44"/>
      <c r="E897" s="44"/>
      <c r="F897" s="44"/>
      <c r="G897" s="44"/>
      <c r="H897" s="44"/>
    </row>
    <row r="898" spans="1:8">
      <c r="A898" s="45"/>
      <c r="B898" s="45"/>
      <c r="C898" s="45"/>
      <c r="D898" s="45"/>
      <c r="E898" s="45"/>
      <c r="F898" s="45"/>
      <c r="G898" s="45"/>
      <c r="H898" s="45"/>
    </row>
    <row r="899" spans="1:8">
      <c r="A899" s="44"/>
      <c r="B899" s="44"/>
      <c r="C899" s="44"/>
      <c r="D899" s="44"/>
      <c r="E899" s="44"/>
      <c r="F899" s="44"/>
      <c r="G899" s="44"/>
      <c r="H899" s="44"/>
    </row>
    <row r="900" spans="1:8">
      <c r="A900" s="45"/>
      <c r="B900" s="45"/>
      <c r="C900" s="45"/>
      <c r="D900" s="45"/>
      <c r="E900" s="45"/>
      <c r="F900" s="45"/>
      <c r="G900" s="45"/>
      <c r="H900" s="45"/>
    </row>
    <row r="901" spans="1:8">
      <c r="A901" s="44"/>
      <c r="B901" s="44"/>
      <c r="C901" s="44"/>
      <c r="D901" s="44"/>
      <c r="E901" s="44"/>
      <c r="F901" s="44"/>
      <c r="G901" s="44"/>
      <c r="H901" s="44"/>
    </row>
    <row r="902" spans="1:8">
      <c r="A902" s="45"/>
      <c r="B902" s="45"/>
      <c r="C902" s="45"/>
      <c r="D902" s="45"/>
      <c r="E902" s="45"/>
      <c r="F902" s="45"/>
      <c r="G902" s="45"/>
      <c r="H902" s="45"/>
    </row>
    <row r="903" spans="1:8">
      <c r="A903" s="44"/>
      <c r="B903" s="44"/>
      <c r="C903" s="44"/>
      <c r="D903" s="44"/>
      <c r="E903" s="44"/>
      <c r="F903" s="44"/>
      <c r="G903" s="44"/>
      <c r="H903" s="44"/>
    </row>
    <row r="904" spans="1:8">
      <c r="A904" s="45"/>
      <c r="B904" s="45"/>
      <c r="C904" s="45"/>
      <c r="D904" s="45"/>
      <c r="E904" s="45"/>
      <c r="F904" s="45"/>
      <c r="G904" s="45"/>
      <c r="H904" s="45"/>
    </row>
    <row r="905" spans="1:8">
      <c r="A905" s="44"/>
      <c r="B905" s="44"/>
      <c r="C905" s="44"/>
      <c r="D905" s="44"/>
      <c r="E905" s="44"/>
      <c r="F905" s="44"/>
      <c r="G905" s="44"/>
      <c r="H905" s="44"/>
    </row>
    <row r="906" spans="1:8">
      <c r="A906" s="45"/>
      <c r="B906" s="45"/>
      <c r="C906" s="45"/>
      <c r="D906" s="45"/>
      <c r="E906" s="45"/>
      <c r="F906" s="45"/>
      <c r="G906" s="45"/>
      <c r="H906" s="45"/>
    </row>
    <row r="907" spans="1:8">
      <c r="A907" s="44"/>
      <c r="B907" s="44"/>
      <c r="C907" s="44"/>
      <c r="D907" s="44"/>
      <c r="E907" s="44"/>
      <c r="F907" s="44"/>
      <c r="G907" s="44"/>
      <c r="H907" s="44"/>
    </row>
    <row r="908" spans="1:8">
      <c r="A908" s="45"/>
      <c r="B908" s="45"/>
      <c r="C908" s="45"/>
      <c r="D908" s="45"/>
      <c r="E908" s="45"/>
      <c r="F908" s="45"/>
      <c r="G908" s="45"/>
      <c r="H908" s="45"/>
    </row>
    <row r="909" spans="1:8">
      <c r="A909" s="44"/>
      <c r="B909" s="44"/>
      <c r="C909" s="44"/>
      <c r="D909" s="44"/>
      <c r="E909" s="44"/>
      <c r="F909" s="44"/>
      <c r="G909" s="44"/>
      <c r="H909" s="44"/>
    </row>
    <row r="910" spans="1:8">
      <c r="A910" s="45"/>
      <c r="B910" s="45"/>
      <c r="C910" s="45"/>
      <c r="D910" s="45"/>
      <c r="E910" s="45"/>
      <c r="F910" s="45"/>
      <c r="G910" s="45"/>
      <c r="H910" s="45"/>
    </row>
    <row r="911" spans="1:8">
      <c r="A911" s="44"/>
      <c r="B911" s="44"/>
      <c r="C911" s="44"/>
      <c r="D911" s="44"/>
      <c r="E911" s="44"/>
      <c r="F911" s="44"/>
      <c r="G911" s="44"/>
      <c r="H911" s="44"/>
    </row>
    <row r="912" spans="1:8">
      <c r="A912" s="45"/>
      <c r="B912" s="45"/>
      <c r="C912" s="45"/>
      <c r="D912" s="45"/>
      <c r="E912" s="45"/>
      <c r="F912" s="45"/>
      <c r="G912" s="45"/>
      <c r="H912" s="45"/>
    </row>
    <row r="913" spans="1:8">
      <c r="A913" s="44"/>
      <c r="B913" s="44"/>
      <c r="C913" s="44"/>
      <c r="D913" s="44"/>
      <c r="E913" s="44"/>
      <c r="F913" s="44"/>
      <c r="G913" s="44"/>
      <c r="H913" s="44"/>
    </row>
    <row r="914" spans="1:8">
      <c r="A914" s="45"/>
      <c r="B914" s="45"/>
      <c r="C914" s="45"/>
      <c r="D914" s="45"/>
      <c r="E914" s="45"/>
      <c r="F914" s="45"/>
      <c r="G914" s="45"/>
      <c r="H914" s="45"/>
    </row>
    <row r="915" spans="1:8">
      <c r="A915" s="44"/>
      <c r="B915" s="44"/>
      <c r="C915" s="44"/>
      <c r="D915" s="44"/>
      <c r="E915" s="44"/>
      <c r="F915" s="44"/>
      <c r="G915" s="44"/>
      <c r="H915" s="44"/>
    </row>
    <row r="916" spans="1:8">
      <c r="A916" s="45"/>
      <c r="B916" s="45"/>
      <c r="C916" s="45"/>
      <c r="D916" s="45"/>
      <c r="E916" s="45"/>
      <c r="F916" s="45"/>
      <c r="G916" s="45"/>
      <c r="H916" s="45"/>
    </row>
    <row r="917" spans="1:8">
      <c r="A917" s="44"/>
      <c r="B917" s="44"/>
      <c r="C917" s="44"/>
      <c r="D917" s="44"/>
      <c r="E917" s="44"/>
      <c r="F917" s="44"/>
      <c r="G917" s="44"/>
      <c r="H917" s="44"/>
    </row>
    <row r="918" spans="1:8">
      <c r="A918" s="45"/>
      <c r="B918" s="45"/>
      <c r="C918" s="45"/>
      <c r="D918" s="45"/>
      <c r="E918" s="45"/>
      <c r="F918" s="45"/>
      <c r="G918" s="45"/>
      <c r="H918" s="45"/>
    </row>
    <row r="919" spans="1:8">
      <c r="A919" s="44"/>
      <c r="B919" s="44"/>
      <c r="C919" s="44"/>
      <c r="D919" s="44"/>
      <c r="E919" s="44"/>
      <c r="F919" s="44"/>
      <c r="G919" s="44"/>
      <c r="H919" s="44"/>
    </row>
    <row r="920" spans="1:8">
      <c r="A920" s="45"/>
      <c r="B920" s="45"/>
      <c r="C920" s="45"/>
      <c r="D920" s="45"/>
      <c r="E920" s="45"/>
      <c r="F920" s="45"/>
      <c r="G920" s="45"/>
      <c r="H920" s="45"/>
    </row>
    <row r="921" spans="1:8">
      <c r="A921" s="44"/>
      <c r="B921" s="44"/>
      <c r="C921" s="44"/>
      <c r="D921" s="44"/>
      <c r="E921" s="44"/>
      <c r="F921" s="44"/>
      <c r="G921" s="44"/>
      <c r="H921" s="44"/>
    </row>
    <row r="922" spans="1:8">
      <c r="A922" s="45"/>
      <c r="B922" s="45"/>
      <c r="C922" s="45"/>
      <c r="D922" s="45"/>
      <c r="E922" s="45"/>
      <c r="F922" s="45"/>
      <c r="G922" s="45"/>
      <c r="H922" s="45"/>
    </row>
    <row r="923" spans="1:8">
      <c r="A923" s="44"/>
      <c r="B923" s="44"/>
      <c r="C923" s="44"/>
      <c r="D923" s="44"/>
      <c r="E923" s="44"/>
      <c r="F923" s="44"/>
      <c r="G923" s="44"/>
      <c r="H923" s="44"/>
    </row>
    <row r="924" spans="1:8">
      <c r="A924" s="45"/>
      <c r="B924" s="45"/>
      <c r="C924" s="45"/>
      <c r="D924" s="45"/>
      <c r="E924" s="45"/>
      <c r="F924" s="45"/>
      <c r="G924" s="45"/>
      <c r="H924" s="45"/>
    </row>
    <row r="925" spans="1:8">
      <c r="A925" s="44"/>
      <c r="B925" s="44"/>
      <c r="C925" s="44"/>
      <c r="D925" s="44"/>
      <c r="E925" s="44"/>
      <c r="F925" s="44"/>
      <c r="G925" s="44"/>
      <c r="H925" s="44"/>
    </row>
    <row r="926" spans="1:8">
      <c r="A926" s="45"/>
      <c r="B926" s="45"/>
      <c r="C926" s="45"/>
      <c r="D926" s="45"/>
      <c r="E926" s="45"/>
      <c r="F926" s="45"/>
      <c r="G926" s="45"/>
      <c r="H926" s="45"/>
    </row>
    <row r="927" spans="1:8">
      <c r="A927" s="44"/>
      <c r="B927" s="44"/>
      <c r="C927" s="44"/>
      <c r="D927" s="44"/>
      <c r="E927" s="44"/>
      <c r="F927" s="44"/>
      <c r="G927" s="44"/>
      <c r="H927" s="44"/>
    </row>
    <row r="928" spans="1:8">
      <c r="A928" s="45"/>
      <c r="B928" s="45"/>
      <c r="C928" s="45"/>
      <c r="D928" s="45"/>
      <c r="E928" s="45"/>
      <c r="F928" s="45"/>
      <c r="G928" s="45"/>
      <c r="H928" s="45"/>
    </row>
    <row r="929" spans="1:8">
      <c r="A929" s="44"/>
      <c r="B929" s="44"/>
      <c r="C929" s="44"/>
      <c r="D929" s="44"/>
      <c r="E929" s="44"/>
      <c r="F929" s="44"/>
      <c r="G929" s="44"/>
      <c r="H929" s="44"/>
    </row>
    <row r="930" spans="1:8">
      <c r="A930" s="45"/>
      <c r="B930" s="45"/>
      <c r="C930" s="45"/>
      <c r="D930" s="45"/>
      <c r="E930" s="45"/>
      <c r="F930" s="45"/>
      <c r="G930" s="45"/>
      <c r="H930" s="45"/>
    </row>
    <row r="931" spans="1:8">
      <c r="A931" s="44"/>
      <c r="B931" s="44"/>
      <c r="C931" s="44"/>
      <c r="D931" s="44"/>
      <c r="E931" s="44"/>
      <c r="F931" s="44"/>
      <c r="G931" s="44"/>
      <c r="H931" s="44"/>
    </row>
    <row r="932" spans="1:8">
      <c r="A932" s="45"/>
      <c r="B932" s="45"/>
      <c r="C932" s="45"/>
      <c r="D932" s="45"/>
      <c r="E932" s="45"/>
      <c r="F932" s="45"/>
      <c r="G932" s="45"/>
      <c r="H932" s="45"/>
    </row>
    <row r="933" spans="1:8">
      <c r="A933" s="44"/>
      <c r="B933" s="44"/>
      <c r="C933" s="44"/>
      <c r="D933" s="44"/>
      <c r="E933" s="44"/>
      <c r="F933" s="44"/>
      <c r="G933" s="44"/>
      <c r="H933" s="44"/>
    </row>
    <row r="934" spans="1:8">
      <c r="A934" s="45"/>
      <c r="B934" s="45"/>
      <c r="C934" s="45"/>
      <c r="D934" s="45"/>
      <c r="E934" s="45"/>
      <c r="F934" s="45"/>
      <c r="G934" s="45"/>
      <c r="H934" s="45"/>
    </row>
    <row r="935" spans="1:8">
      <c r="A935" s="44"/>
      <c r="B935" s="44"/>
      <c r="C935" s="44"/>
      <c r="D935" s="44"/>
      <c r="E935" s="44"/>
      <c r="F935" s="44"/>
      <c r="G935" s="44"/>
      <c r="H935" s="44"/>
    </row>
    <row r="936" spans="1:8">
      <c r="A936" s="45"/>
      <c r="B936" s="45"/>
      <c r="C936" s="45"/>
      <c r="D936" s="45"/>
      <c r="E936" s="45"/>
      <c r="F936" s="45"/>
      <c r="G936" s="45"/>
      <c r="H936" s="45"/>
    </row>
    <row r="937" spans="1:8">
      <c r="A937" s="44"/>
      <c r="B937" s="44"/>
      <c r="C937" s="44"/>
      <c r="D937" s="44"/>
      <c r="E937" s="44"/>
      <c r="F937" s="44"/>
      <c r="G937" s="44"/>
      <c r="H937" s="44"/>
    </row>
    <row r="938" spans="1:8">
      <c r="A938" s="45"/>
      <c r="B938" s="45"/>
      <c r="C938" s="45"/>
      <c r="D938" s="45"/>
      <c r="E938" s="45"/>
      <c r="F938" s="45"/>
      <c r="G938" s="45"/>
      <c r="H938" s="45"/>
    </row>
    <row r="939" spans="1:8">
      <c r="A939" s="44"/>
      <c r="B939" s="44"/>
      <c r="C939" s="44"/>
      <c r="D939" s="44"/>
      <c r="E939" s="44"/>
      <c r="F939" s="44"/>
      <c r="G939" s="44"/>
      <c r="H939" s="44"/>
    </row>
    <row r="940" spans="1:8">
      <c r="A940" s="45"/>
      <c r="B940" s="45"/>
      <c r="C940" s="45"/>
      <c r="D940" s="45"/>
      <c r="E940" s="45"/>
      <c r="F940" s="45"/>
      <c r="G940" s="45"/>
      <c r="H940" s="45"/>
    </row>
    <row r="941" spans="1:8">
      <c r="A941" s="44"/>
      <c r="B941" s="44"/>
      <c r="C941" s="44"/>
      <c r="D941" s="44"/>
      <c r="E941" s="44"/>
      <c r="F941" s="44"/>
      <c r="G941" s="44"/>
      <c r="H941" s="44"/>
    </row>
    <row r="942" spans="1:8">
      <c r="A942" s="45"/>
      <c r="B942" s="45"/>
      <c r="C942" s="45"/>
      <c r="D942" s="45"/>
      <c r="E942" s="45"/>
      <c r="F942" s="45"/>
      <c r="G942" s="45"/>
      <c r="H942" s="45"/>
    </row>
    <row r="943" spans="1:8">
      <c r="A943" s="44"/>
      <c r="B943" s="44"/>
      <c r="C943" s="44"/>
      <c r="D943" s="44"/>
      <c r="E943" s="44"/>
      <c r="F943" s="44"/>
      <c r="G943" s="44"/>
      <c r="H943" s="44"/>
    </row>
    <row r="944" spans="1:8">
      <c r="A944" s="45"/>
      <c r="B944" s="45"/>
      <c r="C944" s="45"/>
      <c r="D944" s="45"/>
      <c r="E944" s="45"/>
      <c r="F944" s="45"/>
      <c r="G944" s="45"/>
      <c r="H944" s="45"/>
    </row>
    <row r="945" spans="1:8">
      <c r="A945" s="44"/>
      <c r="B945" s="44"/>
      <c r="C945" s="44"/>
      <c r="D945" s="44"/>
      <c r="E945" s="44"/>
      <c r="F945" s="44"/>
      <c r="G945" s="44"/>
      <c r="H945" s="44"/>
    </row>
    <row r="946" spans="1:8">
      <c r="A946" s="45"/>
      <c r="B946" s="45"/>
      <c r="C946" s="45"/>
      <c r="D946" s="45"/>
      <c r="E946" s="45"/>
      <c r="F946" s="45"/>
      <c r="G946" s="45"/>
      <c r="H946" s="45"/>
    </row>
    <row r="947" spans="1:8">
      <c r="A947" s="44"/>
      <c r="B947" s="44"/>
      <c r="C947" s="44"/>
      <c r="D947" s="44"/>
      <c r="E947" s="44"/>
      <c r="F947" s="44"/>
      <c r="G947" s="44"/>
      <c r="H947" s="44"/>
    </row>
    <row r="948" spans="1:8">
      <c r="A948" s="45"/>
      <c r="B948" s="45"/>
      <c r="C948" s="45"/>
      <c r="D948" s="45"/>
      <c r="E948" s="45"/>
      <c r="F948" s="45"/>
      <c r="G948" s="45"/>
      <c r="H948" s="45"/>
    </row>
    <row r="949" spans="1:8">
      <c r="A949" s="44"/>
      <c r="B949" s="44"/>
      <c r="C949" s="44"/>
      <c r="D949" s="44"/>
      <c r="E949" s="44"/>
      <c r="F949" s="44"/>
      <c r="G949" s="44"/>
      <c r="H949" s="44"/>
    </row>
    <row r="950" spans="1:8">
      <c r="A950" s="45"/>
      <c r="B950" s="45"/>
      <c r="C950" s="45"/>
      <c r="D950" s="45"/>
      <c r="E950" s="45"/>
      <c r="F950" s="45"/>
      <c r="G950" s="45"/>
      <c r="H950" s="45"/>
    </row>
    <row r="951" spans="1:8">
      <c r="A951" s="44"/>
      <c r="B951" s="44"/>
      <c r="C951" s="44"/>
      <c r="D951" s="44"/>
      <c r="E951" s="44"/>
      <c r="F951" s="44"/>
      <c r="G951" s="44"/>
      <c r="H951" s="44"/>
    </row>
    <row r="952" spans="1:8">
      <c r="A952" s="45"/>
      <c r="B952" s="45"/>
      <c r="C952" s="45"/>
      <c r="D952" s="45"/>
      <c r="E952" s="45"/>
      <c r="F952" s="45"/>
      <c r="G952" s="45"/>
      <c r="H952" s="45"/>
    </row>
    <row r="953" spans="1:8">
      <c r="A953" s="44"/>
      <c r="B953" s="44"/>
      <c r="C953" s="44"/>
      <c r="D953" s="44"/>
      <c r="E953" s="44"/>
      <c r="F953" s="44"/>
      <c r="G953" s="44"/>
      <c r="H953" s="44"/>
    </row>
    <row r="954" spans="1:8">
      <c r="A954" s="45"/>
      <c r="B954" s="45"/>
      <c r="C954" s="45"/>
      <c r="D954" s="45"/>
      <c r="E954" s="45"/>
      <c r="F954" s="45"/>
      <c r="G954" s="45"/>
      <c r="H954" s="45"/>
    </row>
    <row r="955" spans="1:8">
      <c r="A955" s="44"/>
      <c r="B955" s="44"/>
      <c r="C955" s="44"/>
      <c r="D955" s="44"/>
      <c r="E955" s="44"/>
      <c r="F955" s="44"/>
      <c r="G955" s="44"/>
      <c r="H955" s="44"/>
    </row>
    <row r="956" spans="1:8">
      <c r="A956" s="45"/>
      <c r="B956" s="45"/>
      <c r="C956" s="45"/>
      <c r="D956" s="45"/>
      <c r="E956" s="45"/>
      <c r="F956" s="45"/>
      <c r="G956" s="45"/>
      <c r="H956" s="45"/>
    </row>
    <row r="957" spans="1:8">
      <c r="A957" s="44"/>
      <c r="B957" s="44"/>
      <c r="C957" s="44"/>
      <c r="D957" s="44"/>
      <c r="E957" s="44"/>
      <c r="F957" s="44"/>
      <c r="G957" s="44"/>
      <c r="H957" s="44"/>
    </row>
    <row r="958" spans="1:8">
      <c r="A958" s="45"/>
      <c r="B958" s="45"/>
      <c r="C958" s="45"/>
      <c r="D958" s="45"/>
      <c r="E958" s="45"/>
      <c r="F958" s="45"/>
      <c r="G958" s="45"/>
      <c r="H958" s="45"/>
    </row>
    <row r="959" spans="1:8">
      <c r="A959" s="44"/>
      <c r="B959" s="44"/>
      <c r="C959" s="44"/>
      <c r="D959" s="44"/>
      <c r="E959" s="44"/>
      <c r="F959" s="44"/>
      <c r="G959" s="44"/>
      <c r="H959" s="44"/>
    </row>
    <row r="960" spans="1:8">
      <c r="A960" s="45"/>
      <c r="B960" s="45"/>
      <c r="C960" s="45"/>
      <c r="D960" s="45"/>
      <c r="E960" s="45"/>
      <c r="F960" s="45"/>
      <c r="G960" s="45"/>
      <c r="H960" s="45"/>
    </row>
    <row r="961" spans="1:8">
      <c r="A961" s="44"/>
      <c r="B961" s="44"/>
      <c r="C961" s="44"/>
      <c r="D961" s="44"/>
      <c r="E961" s="44"/>
      <c r="F961" s="44"/>
      <c r="G961" s="44"/>
      <c r="H961" s="44"/>
    </row>
    <row r="962" spans="1:8">
      <c r="A962" s="45"/>
      <c r="B962" s="45"/>
      <c r="C962" s="45"/>
      <c r="D962" s="45"/>
      <c r="E962" s="45"/>
      <c r="F962" s="45"/>
      <c r="G962" s="45"/>
      <c r="H962" s="45"/>
    </row>
    <row r="963" spans="1:8">
      <c r="A963" s="44"/>
      <c r="B963" s="44"/>
      <c r="C963" s="44"/>
      <c r="D963" s="44"/>
      <c r="E963" s="44"/>
      <c r="F963" s="44"/>
      <c r="G963" s="44"/>
      <c r="H963" s="44"/>
    </row>
    <row r="964" spans="1:8">
      <c r="A964" s="45"/>
      <c r="B964" s="45"/>
      <c r="C964" s="45"/>
      <c r="D964" s="45"/>
      <c r="E964" s="45"/>
      <c r="F964" s="45"/>
      <c r="G964" s="45"/>
      <c r="H964" s="45"/>
    </row>
    <row r="965" spans="1:8">
      <c r="A965" s="44"/>
      <c r="B965" s="44"/>
      <c r="C965" s="44"/>
      <c r="D965" s="44"/>
      <c r="E965" s="44"/>
      <c r="F965" s="44"/>
      <c r="G965" s="44"/>
      <c r="H965" s="44"/>
    </row>
    <row r="966" spans="1:8">
      <c r="A966" s="45"/>
      <c r="B966" s="45"/>
      <c r="C966" s="45"/>
      <c r="D966" s="45"/>
      <c r="E966" s="45"/>
      <c r="F966" s="45"/>
      <c r="G966" s="45"/>
      <c r="H966" s="45"/>
    </row>
    <row r="967" spans="1:8">
      <c r="A967" s="44"/>
      <c r="B967" s="44"/>
      <c r="C967" s="44"/>
      <c r="D967" s="44"/>
      <c r="E967" s="44"/>
      <c r="F967" s="44"/>
      <c r="G967" s="44"/>
      <c r="H967" s="44"/>
    </row>
    <row r="968" spans="1:8">
      <c r="A968" s="45"/>
      <c r="B968" s="45"/>
      <c r="C968" s="45"/>
      <c r="D968" s="45"/>
      <c r="E968" s="45"/>
      <c r="F968" s="45"/>
      <c r="G968" s="45"/>
      <c r="H968" s="45"/>
    </row>
    <row r="969" spans="1:8">
      <c r="A969" s="44"/>
      <c r="B969" s="44"/>
      <c r="C969" s="44"/>
      <c r="D969" s="44"/>
      <c r="E969" s="44"/>
      <c r="F969" s="44"/>
      <c r="G969" s="44"/>
      <c r="H969" s="44"/>
    </row>
    <row r="970" spans="1:8">
      <c r="A970" s="45"/>
      <c r="B970" s="45"/>
      <c r="C970" s="45"/>
      <c r="D970" s="45"/>
      <c r="E970" s="45"/>
      <c r="F970" s="45"/>
      <c r="G970" s="45"/>
      <c r="H970" s="45"/>
    </row>
    <row r="971" spans="1:8">
      <c r="A971" s="44"/>
      <c r="B971" s="44"/>
      <c r="C971" s="44"/>
      <c r="D971" s="44"/>
      <c r="E971" s="44"/>
      <c r="F971" s="44"/>
      <c r="G971" s="44"/>
      <c r="H971" s="44"/>
    </row>
    <row r="972" spans="1:8">
      <c r="A972" s="45"/>
      <c r="B972" s="45"/>
      <c r="C972" s="45"/>
      <c r="D972" s="45"/>
      <c r="E972" s="45"/>
      <c r="F972" s="45"/>
      <c r="G972" s="45"/>
      <c r="H972" s="45"/>
    </row>
    <row r="973" spans="1:8">
      <c r="A973" s="44"/>
      <c r="B973" s="44"/>
      <c r="C973" s="44"/>
      <c r="D973" s="44"/>
      <c r="E973" s="44"/>
      <c r="F973" s="44"/>
      <c r="G973" s="44"/>
      <c r="H973" s="44"/>
    </row>
    <row r="974" spans="1:8">
      <c r="A974" s="45"/>
      <c r="B974" s="45"/>
      <c r="C974" s="45"/>
      <c r="D974" s="45"/>
      <c r="E974" s="45"/>
      <c r="F974" s="45"/>
      <c r="G974" s="45"/>
      <c r="H974" s="45"/>
    </row>
    <row r="975" spans="1:8">
      <c r="A975" s="44"/>
      <c r="B975" s="44"/>
      <c r="C975" s="44"/>
      <c r="D975" s="44"/>
      <c r="E975" s="44"/>
      <c r="F975" s="44"/>
      <c r="G975" s="44"/>
      <c r="H975" s="44"/>
    </row>
    <row r="976" spans="1:8">
      <c r="A976" s="45"/>
      <c r="B976" s="45"/>
      <c r="C976" s="45"/>
      <c r="D976" s="45"/>
      <c r="E976" s="45"/>
      <c r="F976" s="45"/>
      <c r="G976" s="45"/>
      <c r="H976" s="45"/>
    </row>
    <row r="977" spans="1:8">
      <c r="A977" s="44"/>
      <c r="B977" s="44"/>
      <c r="C977" s="44"/>
      <c r="D977" s="44"/>
      <c r="E977" s="44"/>
      <c r="F977" s="44"/>
      <c r="G977" s="44"/>
      <c r="H977" s="44"/>
    </row>
    <row r="978" spans="1:8">
      <c r="A978" s="45"/>
      <c r="B978" s="45"/>
      <c r="C978" s="45"/>
      <c r="D978" s="45"/>
      <c r="E978" s="45"/>
      <c r="F978" s="45"/>
      <c r="G978" s="45"/>
      <c r="H978" s="45"/>
    </row>
    <row r="979" spans="1:8">
      <c r="A979" s="44"/>
      <c r="B979" s="44"/>
      <c r="C979" s="44"/>
      <c r="D979" s="44"/>
      <c r="E979" s="44"/>
      <c r="F979" s="44"/>
      <c r="G979" s="44"/>
      <c r="H979" s="44"/>
    </row>
    <row r="980" spans="1:8">
      <c r="A980" s="45"/>
      <c r="B980" s="45"/>
      <c r="C980" s="45"/>
      <c r="D980" s="45"/>
      <c r="E980" s="45"/>
      <c r="F980" s="45"/>
      <c r="G980" s="45"/>
      <c r="H980" s="45"/>
    </row>
    <row r="981" spans="1:8">
      <c r="A981" s="44"/>
      <c r="B981" s="44"/>
      <c r="C981" s="44"/>
      <c r="D981" s="44"/>
      <c r="E981" s="44"/>
      <c r="F981" s="44"/>
      <c r="G981" s="44"/>
      <c r="H981" s="44"/>
    </row>
    <row r="982" spans="1:8">
      <c r="A982" s="45"/>
      <c r="B982" s="45"/>
      <c r="C982" s="45"/>
      <c r="D982" s="45"/>
      <c r="E982" s="45"/>
      <c r="F982" s="45"/>
      <c r="G982" s="45"/>
      <c r="H982" s="45"/>
    </row>
    <row r="983" spans="1:8">
      <c r="A983" s="44"/>
      <c r="B983" s="44"/>
      <c r="C983" s="44"/>
      <c r="D983" s="44"/>
      <c r="E983" s="44"/>
      <c r="F983" s="44"/>
      <c r="G983" s="44"/>
      <c r="H983" s="44"/>
    </row>
    <row r="984" spans="1:8">
      <c r="A984" s="45"/>
      <c r="B984" s="45"/>
      <c r="C984" s="45"/>
      <c r="D984" s="45"/>
      <c r="E984" s="45"/>
      <c r="F984" s="45"/>
      <c r="G984" s="45"/>
      <c r="H984" s="45"/>
    </row>
    <row r="985" spans="1:8">
      <c r="A985" s="44"/>
      <c r="B985" s="44"/>
      <c r="C985" s="44"/>
      <c r="D985" s="44"/>
      <c r="E985" s="44"/>
      <c r="F985" s="44"/>
      <c r="G985" s="44"/>
      <c r="H985" s="44"/>
    </row>
    <row r="986" spans="1:8">
      <c r="A986" s="45"/>
      <c r="B986" s="45"/>
      <c r="C986" s="45"/>
      <c r="D986" s="45"/>
      <c r="E986" s="45"/>
      <c r="F986" s="45"/>
      <c r="G986" s="45"/>
      <c r="H986" s="45"/>
    </row>
    <row r="987" spans="1:8">
      <c r="A987" s="44"/>
      <c r="B987" s="44"/>
      <c r="C987" s="44"/>
      <c r="D987" s="44"/>
      <c r="E987" s="44"/>
      <c r="F987" s="44"/>
      <c r="G987" s="44"/>
      <c r="H987" s="44"/>
    </row>
    <row r="988" spans="1:8">
      <c r="A988" s="45"/>
      <c r="B988" s="45"/>
      <c r="C988" s="45"/>
      <c r="D988" s="45"/>
      <c r="E988" s="45"/>
      <c r="F988" s="45"/>
      <c r="G988" s="45"/>
      <c r="H988" s="45"/>
    </row>
    <row r="989" spans="1:8">
      <c r="A989" s="44"/>
      <c r="B989" s="44"/>
      <c r="C989" s="44"/>
      <c r="D989" s="44"/>
      <c r="E989" s="44"/>
      <c r="F989" s="44"/>
      <c r="G989" s="44"/>
      <c r="H989" s="44"/>
    </row>
    <row r="990" spans="1:8">
      <c r="A990" s="45"/>
      <c r="B990" s="45"/>
      <c r="C990" s="45"/>
      <c r="D990" s="45"/>
      <c r="E990" s="45"/>
      <c r="F990" s="45"/>
      <c r="G990" s="45"/>
      <c r="H990" s="45"/>
    </row>
    <row r="991" spans="1:8">
      <c r="A991" s="44"/>
      <c r="B991" s="44"/>
      <c r="C991" s="44"/>
      <c r="D991" s="44"/>
      <c r="E991" s="44"/>
      <c r="F991" s="44"/>
      <c r="G991" s="44"/>
      <c r="H991" s="44"/>
    </row>
    <row r="992" spans="1:8">
      <c r="A992" s="45"/>
      <c r="B992" s="45"/>
      <c r="C992" s="45"/>
      <c r="D992" s="45"/>
      <c r="E992" s="45"/>
      <c r="F992" s="45"/>
      <c r="G992" s="45"/>
      <c r="H992" s="45"/>
    </row>
    <row r="993" spans="1:8">
      <c r="A993" s="44"/>
      <c r="B993" s="44"/>
      <c r="C993" s="44"/>
      <c r="D993" s="44"/>
      <c r="E993" s="44"/>
      <c r="F993" s="44"/>
      <c r="G993" s="44"/>
      <c r="H993" s="44"/>
    </row>
    <row r="994" spans="1:8">
      <c r="A994" s="45"/>
      <c r="B994" s="45"/>
      <c r="C994" s="45"/>
      <c r="D994" s="45"/>
      <c r="E994" s="45"/>
      <c r="F994" s="45"/>
      <c r="G994" s="45"/>
      <c r="H994" s="45"/>
    </row>
    <row r="995" spans="1:8">
      <c r="A995" s="44"/>
      <c r="B995" s="44"/>
      <c r="C995" s="44"/>
      <c r="D995" s="44"/>
      <c r="E995" s="44"/>
      <c r="F995" s="44"/>
      <c r="G995" s="44"/>
      <c r="H995" s="44"/>
    </row>
    <row r="996" spans="1:8">
      <c r="A996" s="45"/>
      <c r="B996" s="45"/>
      <c r="C996" s="45"/>
      <c r="D996" s="45"/>
      <c r="E996" s="45"/>
      <c r="F996" s="45"/>
      <c r="G996" s="45"/>
      <c r="H996" s="45"/>
    </row>
    <row r="997" spans="1:8">
      <c r="A997" s="44"/>
      <c r="B997" s="44"/>
      <c r="C997" s="44"/>
      <c r="D997" s="44"/>
      <c r="E997" s="44"/>
      <c r="F997" s="44"/>
      <c r="G997" s="44"/>
      <c r="H997" s="44"/>
    </row>
    <row r="998" spans="1:8">
      <c r="A998" s="45"/>
      <c r="B998" s="45"/>
      <c r="C998" s="45"/>
      <c r="D998" s="45"/>
      <c r="E998" s="45"/>
      <c r="F998" s="45"/>
      <c r="G998" s="45"/>
      <c r="H998" s="45"/>
    </row>
    <row r="999" spans="1:8">
      <c r="A999" s="44"/>
      <c r="B999" s="44"/>
      <c r="C999" s="44"/>
      <c r="D999" s="44"/>
      <c r="E999" s="44"/>
      <c r="F999" s="44"/>
      <c r="G999" s="44"/>
      <c r="H999" s="44"/>
    </row>
    <row r="1000" spans="1:8">
      <c r="A1000" s="45"/>
      <c r="B1000" s="45"/>
      <c r="C1000" s="45"/>
      <c r="D1000" s="45"/>
      <c r="E1000" s="45"/>
      <c r="F1000" s="45"/>
      <c r="G1000" s="45"/>
      <c r="H1000" s="45"/>
    </row>
    <row r="1001" spans="1:8">
      <c r="A1001" s="44"/>
      <c r="B1001" s="44"/>
      <c r="C1001" s="44"/>
      <c r="D1001" s="44"/>
      <c r="E1001" s="44"/>
      <c r="F1001" s="44"/>
      <c r="G1001" s="44"/>
      <c r="H1001" s="44"/>
    </row>
    <row r="1002" spans="1:8">
      <c r="A1002" s="45"/>
      <c r="B1002" s="45"/>
      <c r="C1002" s="45"/>
      <c r="D1002" s="45"/>
      <c r="E1002" s="45"/>
      <c r="F1002" s="45"/>
      <c r="G1002" s="45"/>
      <c r="H1002" s="45"/>
    </row>
    <row r="1003" spans="1:8">
      <c r="A1003" s="44"/>
      <c r="B1003" s="44"/>
      <c r="C1003" s="44"/>
      <c r="D1003" s="44"/>
      <c r="E1003" s="44"/>
      <c r="F1003" s="44"/>
      <c r="G1003" s="44"/>
      <c r="H1003" s="44"/>
    </row>
    <row r="1004" spans="1:8">
      <c r="A1004" s="45"/>
      <c r="B1004" s="45"/>
      <c r="C1004" s="45"/>
      <c r="D1004" s="45"/>
      <c r="E1004" s="45"/>
      <c r="F1004" s="45"/>
      <c r="G1004" s="45"/>
      <c r="H1004" s="45"/>
    </row>
    <row r="1005" spans="1:8">
      <c r="A1005" s="44"/>
      <c r="B1005" s="44"/>
      <c r="C1005" s="44"/>
      <c r="D1005" s="44"/>
      <c r="E1005" s="44"/>
      <c r="F1005" s="44"/>
      <c r="G1005" s="44"/>
      <c r="H1005" s="44"/>
    </row>
    <row r="1006" spans="1:8">
      <c r="A1006" s="45"/>
      <c r="B1006" s="45"/>
      <c r="C1006" s="45"/>
      <c r="D1006" s="45"/>
      <c r="E1006" s="45"/>
      <c r="F1006" s="45"/>
      <c r="G1006" s="45"/>
      <c r="H1006" s="45"/>
    </row>
    <row r="1007" spans="1:8">
      <c r="A1007" s="44"/>
      <c r="B1007" s="44"/>
      <c r="C1007" s="44"/>
      <c r="D1007" s="44"/>
      <c r="E1007" s="44"/>
      <c r="F1007" s="44"/>
      <c r="G1007" s="44"/>
      <c r="H1007" s="44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0D34E-4D10-4CEC-84B2-6A8572D16033}">
  <dimension ref="A1:H729"/>
  <sheetViews>
    <sheetView zoomScale="88" zoomScaleNormal="88" workbookViewId="0">
      <selection activeCell="H729" sqref="A2:H729"/>
    </sheetView>
  </sheetViews>
  <sheetFormatPr defaultRowHeight="14.4"/>
  <sheetData>
    <row r="1" spans="1:8">
      <c r="A1" s="41" t="s">
        <v>86</v>
      </c>
      <c r="B1" s="41" t="s">
        <v>263</v>
      </c>
      <c r="C1" s="41" t="s">
        <v>264</v>
      </c>
      <c r="D1" s="41" t="s">
        <v>265</v>
      </c>
      <c r="E1" s="41" t="s">
        <v>85</v>
      </c>
      <c r="F1" s="41" t="s">
        <v>259</v>
      </c>
      <c r="G1" s="41" t="s">
        <v>260</v>
      </c>
      <c r="H1" s="41" t="s">
        <v>261</v>
      </c>
    </row>
    <row r="2" spans="1:8">
      <c r="A2" s="45">
        <v>2010</v>
      </c>
      <c r="B2" s="45" t="s">
        <v>102</v>
      </c>
      <c r="C2" s="45" t="s">
        <v>43</v>
      </c>
      <c r="D2" s="45" t="s">
        <v>267</v>
      </c>
      <c r="E2" s="45">
        <v>136134</v>
      </c>
      <c r="F2" s="45"/>
      <c r="G2" s="45"/>
      <c r="H2" s="45">
        <v>17697</v>
      </c>
    </row>
    <row r="3" spans="1:8">
      <c r="A3" s="44">
        <v>2010</v>
      </c>
      <c r="B3" s="44" t="s">
        <v>102</v>
      </c>
      <c r="C3" s="44" t="s">
        <v>43</v>
      </c>
      <c r="D3" s="44" t="s">
        <v>268</v>
      </c>
      <c r="E3" s="44">
        <v>101021</v>
      </c>
      <c r="F3" s="44"/>
      <c r="G3" s="44"/>
      <c r="H3" s="44">
        <v>11112</v>
      </c>
    </row>
    <row r="4" spans="1:8">
      <c r="A4" s="45">
        <v>2010</v>
      </c>
      <c r="B4" s="45" t="s">
        <v>102</v>
      </c>
      <c r="C4" s="45" t="s">
        <v>43</v>
      </c>
      <c r="D4" s="45" t="s">
        <v>269</v>
      </c>
      <c r="E4" s="45">
        <v>85265</v>
      </c>
      <c r="F4" s="45"/>
      <c r="G4" s="45"/>
      <c r="H4" s="45">
        <v>9379</v>
      </c>
    </row>
    <row r="5" spans="1:8">
      <c r="A5" s="44">
        <v>2010</v>
      </c>
      <c r="B5" s="44" t="s">
        <v>102</v>
      </c>
      <c r="C5" s="44" t="s">
        <v>43</v>
      </c>
      <c r="D5" s="44" t="s">
        <v>254</v>
      </c>
      <c r="E5" s="44">
        <v>77637</v>
      </c>
      <c r="F5" s="44"/>
      <c r="G5" s="44"/>
      <c r="H5" s="44">
        <v>8540</v>
      </c>
    </row>
    <row r="6" spans="1:8">
      <c r="A6" s="45">
        <v>2010</v>
      </c>
      <c r="B6" s="45" t="s">
        <v>102</v>
      </c>
      <c r="C6" s="45" t="s">
        <v>43</v>
      </c>
      <c r="D6" s="45" t="s">
        <v>270</v>
      </c>
      <c r="E6" s="45">
        <v>57977</v>
      </c>
      <c r="F6" s="45"/>
      <c r="G6" s="45"/>
      <c r="H6" s="45">
        <v>6377</v>
      </c>
    </row>
    <row r="7" spans="1:8">
      <c r="A7" s="44">
        <v>2010</v>
      </c>
      <c r="B7" s="44" t="s">
        <v>102</v>
      </c>
      <c r="C7" s="44" t="s">
        <v>43</v>
      </c>
      <c r="D7" s="44" t="s">
        <v>271</v>
      </c>
      <c r="E7" s="44">
        <v>50537</v>
      </c>
      <c r="F7" s="44"/>
      <c r="G7" s="44"/>
      <c r="H7" s="44">
        <v>5559</v>
      </c>
    </row>
    <row r="8" spans="1:8">
      <c r="A8" s="45">
        <v>2010</v>
      </c>
      <c r="B8" s="45" t="s">
        <v>102</v>
      </c>
      <c r="C8" s="45" t="s">
        <v>43</v>
      </c>
      <c r="D8" s="45" t="s">
        <v>272</v>
      </c>
      <c r="E8" s="45">
        <v>35507</v>
      </c>
      <c r="F8" s="45"/>
      <c r="G8" s="45"/>
      <c r="H8" s="45">
        <v>3905</v>
      </c>
    </row>
    <row r="9" spans="1:8">
      <c r="A9" s="44">
        <v>2010</v>
      </c>
      <c r="B9" s="44" t="s">
        <v>102</v>
      </c>
      <c r="C9" s="44" t="s">
        <v>43</v>
      </c>
      <c r="D9" s="44" t="s">
        <v>273</v>
      </c>
      <c r="E9" s="44">
        <v>29441</v>
      </c>
      <c r="F9" s="44"/>
      <c r="G9" s="44"/>
      <c r="H9" s="44">
        <v>3238</v>
      </c>
    </row>
    <row r="10" spans="1:8">
      <c r="A10" s="45">
        <v>2010</v>
      </c>
      <c r="B10" s="45" t="s">
        <v>102</v>
      </c>
      <c r="C10" s="45" t="s">
        <v>43</v>
      </c>
      <c r="D10" s="45" t="s">
        <v>274</v>
      </c>
      <c r="E10" s="45">
        <v>19716</v>
      </c>
      <c r="F10" s="45"/>
      <c r="G10" s="45"/>
      <c r="H10" s="45">
        <v>2168</v>
      </c>
    </row>
    <row r="11" spans="1:8">
      <c r="A11" s="44">
        <v>2010</v>
      </c>
      <c r="B11" s="44" t="s">
        <v>102</v>
      </c>
      <c r="C11" s="44" t="s">
        <v>43</v>
      </c>
      <c r="D11" s="44" t="s">
        <v>275</v>
      </c>
      <c r="E11" s="44">
        <v>18008</v>
      </c>
      <c r="F11" s="44"/>
      <c r="G11" s="44"/>
      <c r="H11" s="44">
        <v>1980</v>
      </c>
    </row>
    <row r="12" spans="1:8">
      <c r="A12" s="45">
        <v>2010</v>
      </c>
      <c r="B12" s="45" t="s">
        <v>102</v>
      </c>
      <c r="C12" s="45" t="s">
        <v>43</v>
      </c>
      <c r="D12" s="45" t="s">
        <v>276</v>
      </c>
      <c r="E12" s="45">
        <v>12924</v>
      </c>
      <c r="F12" s="45"/>
      <c r="G12" s="45"/>
      <c r="H12" s="45">
        <v>1421</v>
      </c>
    </row>
    <row r="13" spans="1:8">
      <c r="A13" s="44">
        <v>2010</v>
      </c>
      <c r="B13" s="44" t="s">
        <v>102</v>
      </c>
      <c r="C13" s="44" t="s">
        <v>43</v>
      </c>
      <c r="D13" s="44" t="s">
        <v>277</v>
      </c>
      <c r="E13" s="44">
        <v>9741</v>
      </c>
      <c r="F13" s="44"/>
      <c r="G13" s="44"/>
      <c r="H13" s="44">
        <v>1071</v>
      </c>
    </row>
    <row r="14" spans="1:8">
      <c r="A14" s="45">
        <v>2010</v>
      </c>
      <c r="B14" s="45" t="s">
        <v>102</v>
      </c>
      <c r="C14" s="45" t="s">
        <v>43</v>
      </c>
      <c r="D14" s="45" t="s">
        <v>278</v>
      </c>
      <c r="E14" s="45">
        <v>8572</v>
      </c>
      <c r="F14" s="45"/>
      <c r="G14" s="45"/>
      <c r="H14" s="45">
        <v>942</v>
      </c>
    </row>
    <row r="15" spans="1:8">
      <c r="A15" s="44">
        <v>2010</v>
      </c>
      <c r="B15" s="44" t="s">
        <v>102</v>
      </c>
      <c r="C15" s="44" t="s">
        <v>43</v>
      </c>
      <c r="D15" s="44" t="s">
        <v>279</v>
      </c>
      <c r="E15" s="44">
        <v>6238</v>
      </c>
      <c r="F15" s="44"/>
      <c r="G15" s="44"/>
      <c r="H15" s="44">
        <v>810</v>
      </c>
    </row>
    <row r="16" spans="1:8">
      <c r="A16" s="45">
        <v>2010</v>
      </c>
      <c r="B16" s="45" t="s">
        <v>102</v>
      </c>
      <c r="C16" s="45" t="s">
        <v>43</v>
      </c>
      <c r="D16" s="45" t="s">
        <v>280</v>
      </c>
      <c r="E16" s="45">
        <v>4386</v>
      </c>
      <c r="F16" s="45"/>
      <c r="G16" s="45"/>
      <c r="H16" s="45">
        <v>570</v>
      </c>
    </row>
    <row r="17" spans="1:8">
      <c r="A17" s="44">
        <v>2010</v>
      </c>
      <c r="B17" s="44" t="s">
        <v>102</v>
      </c>
      <c r="C17" s="44" t="s">
        <v>43</v>
      </c>
      <c r="D17" s="44" t="s">
        <v>281</v>
      </c>
      <c r="E17" s="44">
        <v>2982</v>
      </c>
      <c r="F17" s="44"/>
      <c r="G17" s="44"/>
      <c r="H17" s="44">
        <v>387</v>
      </c>
    </row>
    <row r="18" spans="1:8">
      <c r="A18" s="45">
        <v>2010</v>
      </c>
      <c r="B18" s="45" t="s">
        <v>102</v>
      </c>
      <c r="C18" s="45" t="s">
        <v>43</v>
      </c>
      <c r="D18" s="45" t="s">
        <v>282</v>
      </c>
      <c r="E18" s="45">
        <v>1146</v>
      </c>
      <c r="F18" s="45"/>
      <c r="G18" s="45"/>
      <c r="H18" s="45">
        <v>148</v>
      </c>
    </row>
    <row r="19" spans="1:8">
      <c r="A19" s="44">
        <v>2010</v>
      </c>
      <c r="B19" s="44" t="s">
        <v>102</v>
      </c>
      <c r="C19" s="44" t="s">
        <v>43</v>
      </c>
      <c r="D19" s="44" t="s">
        <v>283</v>
      </c>
      <c r="E19" s="44">
        <v>779</v>
      </c>
      <c r="F19" s="44"/>
      <c r="G19" s="44"/>
      <c r="H19" s="44">
        <v>101</v>
      </c>
    </row>
    <row r="20" spans="1:8">
      <c r="A20" s="45">
        <v>2010</v>
      </c>
      <c r="B20" s="45" t="s">
        <v>102</v>
      </c>
      <c r="C20" s="45" t="s">
        <v>43</v>
      </c>
      <c r="D20" s="45" t="s">
        <v>284</v>
      </c>
      <c r="E20" s="45">
        <v>635</v>
      </c>
      <c r="F20" s="45"/>
      <c r="G20" s="45"/>
      <c r="H20" s="45">
        <v>82</v>
      </c>
    </row>
    <row r="21" spans="1:8">
      <c r="A21" s="45">
        <v>2010</v>
      </c>
      <c r="B21" s="45" t="s">
        <v>103</v>
      </c>
      <c r="C21" s="45" t="s">
        <v>43</v>
      </c>
      <c r="D21" s="45" t="s">
        <v>267</v>
      </c>
      <c r="E21" s="45">
        <v>172279</v>
      </c>
      <c r="F21" s="45"/>
      <c r="G21" s="45"/>
      <c r="H21" s="45">
        <v>22396</v>
      </c>
    </row>
    <row r="22" spans="1:8">
      <c r="A22" s="44">
        <v>2010</v>
      </c>
      <c r="B22" s="44" t="s">
        <v>103</v>
      </c>
      <c r="C22" s="44" t="s">
        <v>43</v>
      </c>
      <c r="D22" s="44" t="s">
        <v>268</v>
      </c>
      <c r="E22" s="44">
        <v>132610</v>
      </c>
      <c r="F22" s="44"/>
      <c r="G22" s="44"/>
      <c r="H22" s="44">
        <v>14587</v>
      </c>
    </row>
    <row r="23" spans="1:8">
      <c r="A23" s="45">
        <v>2010</v>
      </c>
      <c r="B23" s="45" t="s">
        <v>103</v>
      </c>
      <c r="C23" s="45" t="s">
        <v>43</v>
      </c>
      <c r="D23" s="45" t="s">
        <v>269</v>
      </c>
      <c r="E23" s="45">
        <v>130723</v>
      </c>
      <c r="F23" s="45"/>
      <c r="G23" s="45"/>
      <c r="H23" s="45">
        <v>14379</v>
      </c>
    </row>
    <row r="24" spans="1:8">
      <c r="A24" s="44">
        <v>2010</v>
      </c>
      <c r="B24" s="44" t="s">
        <v>103</v>
      </c>
      <c r="C24" s="44" t="s">
        <v>43</v>
      </c>
      <c r="D24" s="44" t="s">
        <v>254</v>
      </c>
      <c r="E24" s="44">
        <v>128394</v>
      </c>
      <c r="F24" s="44"/>
      <c r="G24" s="44"/>
      <c r="H24" s="44">
        <v>14123</v>
      </c>
    </row>
    <row r="25" spans="1:8">
      <c r="A25" s="45">
        <v>2010</v>
      </c>
      <c r="B25" s="45" t="s">
        <v>103</v>
      </c>
      <c r="C25" s="45" t="s">
        <v>43</v>
      </c>
      <c r="D25" s="45" t="s">
        <v>270</v>
      </c>
      <c r="E25" s="45">
        <v>97201</v>
      </c>
      <c r="F25" s="45"/>
      <c r="G25" s="45"/>
      <c r="H25" s="45">
        <v>10692</v>
      </c>
    </row>
    <row r="26" spans="1:8">
      <c r="A26" s="44">
        <v>2010</v>
      </c>
      <c r="B26" s="44" t="s">
        <v>103</v>
      </c>
      <c r="C26" s="44" t="s">
        <v>43</v>
      </c>
      <c r="D26" s="44" t="s">
        <v>271</v>
      </c>
      <c r="E26" s="44">
        <v>87912</v>
      </c>
      <c r="F26" s="44"/>
      <c r="G26" s="44"/>
      <c r="H26" s="44">
        <v>9670</v>
      </c>
    </row>
    <row r="27" spans="1:8">
      <c r="A27" s="45">
        <v>2010</v>
      </c>
      <c r="B27" s="45" t="s">
        <v>103</v>
      </c>
      <c r="C27" s="45" t="s">
        <v>43</v>
      </c>
      <c r="D27" s="45" t="s">
        <v>272</v>
      </c>
      <c r="E27" s="45">
        <v>59515</v>
      </c>
      <c r="F27" s="45"/>
      <c r="G27" s="45"/>
      <c r="H27" s="45">
        <v>6546</v>
      </c>
    </row>
    <row r="28" spans="1:8">
      <c r="A28" s="44">
        <v>2010</v>
      </c>
      <c r="B28" s="44" t="s">
        <v>103</v>
      </c>
      <c r="C28" s="44" t="s">
        <v>43</v>
      </c>
      <c r="D28" s="44" t="s">
        <v>273</v>
      </c>
      <c r="E28" s="44">
        <v>48999</v>
      </c>
      <c r="F28" s="44"/>
      <c r="G28" s="44"/>
      <c r="H28" s="44">
        <v>5389</v>
      </c>
    </row>
    <row r="29" spans="1:8">
      <c r="A29" s="45">
        <v>2010</v>
      </c>
      <c r="B29" s="45" t="s">
        <v>103</v>
      </c>
      <c r="C29" s="45" t="s">
        <v>43</v>
      </c>
      <c r="D29" s="45" t="s">
        <v>274</v>
      </c>
      <c r="E29" s="45">
        <v>32469</v>
      </c>
      <c r="F29" s="45"/>
      <c r="G29" s="45"/>
      <c r="H29" s="45">
        <v>3571</v>
      </c>
    </row>
    <row r="30" spans="1:8">
      <c r="A30" s="44">
        <v>2010</v>
      </c>
      <c r="B30" s="44" t="s">
        <v>103</v>
      </c>
      <c r="C30" s="44" t="s">
        <v>43</v>
      </c>
      <c r="D30" s="44" t="s">
        <v>275</v>
      </c>
      <c r="E30" s="44">
        <v>30682</v>
      </c>
      <c r="F30" s="44"/>
      <c r="G30" s="44"/>
      <c r="H30" s="44">
        <v>3375</v>
      </c>
    </row>
    <row r="31" spans="1:8">
      <c r="A31" s="45">
        <v>2010</v>
      </c>
      <c r="B31" s="45" t="s">
        <v>103</v>
      </c>
      <c r="C31" s="45" t="s">
        <v>43</v>
      </c>
      <c r="D31" s="45" t="s">
        <v>276</v>
      </c>
      <c r="E31" s="45">
        <v>22104</v>
      </c>
      <c r="F31" s="45"/>
      <c r="G31" s="45"/>
      <c r="H31" s="45">
        <v>2431</v>
      </c>
    </row>
    <row r="32" spans="1:8">
      <c r="A32" s="44">
        <v>2010</v>
      </c>
      <c r="B32" s="44" t="s">
        <v>103</v>
      </c>
      <c r="C32" s="44" t="s">
        <v>43</v>
      </c>
      <c r="D32" s="44" t="s">
        <v>277</v>
      </c>
      <c r="E32" s="44">
        <v>16012</v>
      </c>
      <c r="F32" s="44"/>
      <c r="G32" s="44"/>
      <c r="H32" s="44">
        <v>1761</v>
      </c>
    </row>
    <row r="33" spans="1:8">
      <c r="A33" s="45">
        <v>2010</v>
      </c>
      <c r="B33" s="45" t="s">
        <v>103</v>
      </c>
      <c r="C33" s="45" t="s">
        <v>43</v>
      </c>
      <c r="D33" s="45" t="s">
        <v>278</v>
      </c>
      <c r="E33" s="45">
        <v>11900</v>
      </c>
      <c r="F33" s="45"/>
      <c r="G33" s="45"/>
      <c r="H33" s="45">
        <v>1309</v>
      </c>
    </row>
    <row r="34" spans="1:8">
      <c r="A34" s="44">
        <v>2010</v>
      </c>
      <c r="B34" s="44" t="s">
        <v>103</v>
      </c>
      <c r="C34" s="44" t="s">
        <v>43</v>
      </c>
      <c r="D34" s="44" t="s">
        <v>279</v>
      </c>
      <c r="E34" s="44">
        <v>7997</v>
      </c>
      <c r="F34" s="44"/>
      <c r="G34" s="44"/>
      <c r="H34" s="44">
        <v>1039</v>
      </c>
    </row>
    <row r="35" spans="1:8">
      <c r="A35" s="45">
        <v>2010</v>
      </c>
      <c r="B35" s="45" t="s">
        <v>103</v>
      </c>
      <c r="C35" s="45" t="s">
        <v>43</v>
      </c>
      <c r="D35" s="45" t="s">
        <v>280</v>
      </c>
      <c r="E35" s="45">
        <v>5337</v>
      </c>
      <c r="F35" s="45"/>
      <c r="G35" s="45"/>
      <c r="H35" s="45">
        <v>693</v>
      </c>
    </row>
    <row r="36" spans="1:8">
      <c r="A36" s="44">
        <v>2010</v>
      </c>
      <c r="B36" s="44" t="s">
        <v>103</v>
      </c>
      <c r="C36" s="44" t="s">
        <v>43</v>
      </c>
      <c r="D36" s="44" t="s">
        <v>281</v>
      </c>
      <c r="E36" s="44">
        <v>3415</v>
      </c>
      <c r="F36" s="44"/>
      <c r="G36" s="44"/>
      <c r="H36" s="44">
        <v>443</v>
      </c>
    </row>
    <row r="37" spans="1:8">
      <c r="A37" s="45">
        <v>2010</v>
      </c>
      <c r="B37" s="45" t="s">
        <v>103</v>
      </c>
      <c r="C37" s="45" t="s">
        <v>43</v>
      </c>
      <c r="D37" s="45" t="s">
        <v>282</v>
      </c>
      <c r="E37" s="45">
        <v>1468</v>
      </c>
      <c r="F37" s="45"/>
      <c r="G37" s="45"/>
      <c r="H37" s="45">
        <v>190</v>
      </c>
    </row>
    <row r="38" spans="1:8">
      <c r="A38" s="44">
        <v>2010</v>
      </c>
      <c r="B38" s="44" t="s">
        <v>103</v>
      </c>
      <c r="C38" s="44" t="s">
        <v>43</v>
      </c>
      <c r="D38" s="44" t="s">
        <v>283</v>
      </c>
      <c r="E38" s="44">
        <v>831</v>
      </c>
      <c r="F38" s="44"/>
      <c r="G38" s="44"/>
      <c r="H38" s="44">
        <v>108</v>
      </c>
    </row>
    <row r="39" spans="1:8">
      <c r="A39" s="45">
        <v>2010</v>
      </c>
      <c r="B39" s="45" t="s">
        <v>103</v>
      </c>
      <c r="C39" s="45" t="s">
        <v>43</v>
      </c>
      <c r="D39" s="45" t="s">
        <v>284</v>
      </c>
      <c r="E39" s="45">
        <v>582</v>
      </c>
      <c r="F39" s="45"/>
      <c r="G39" s="45"/>
      <c r="H39" s="45">
        <v>75</v>
      </c>
    </row>
    <row r="40" spans="1:8">
      <c r="A40" s="45">
        <v>2010</v>
      </c>
      <c r="B40" s="45" t="s">
        <v>104</v>
      </c>
      <c r="C40" s="45" t="s">
        <v>43</v>
      </c>
      <c r="D40" s="45" t="s">
        <v>267</v>
      </c>
      <c r="E40" s="45">
        <v>170896</v>
      </c>
      <c r="F40" s="45"/>
      <c r="G40" s="45"/>
      <c r="H40" s="45">
        <v>22216</v>
      </c>
    </row>
    <row r="41" spans="1:8">
      <c r="A41" s="44">
        <v>2010</v>
      </c>
      <c r="B41" s="44" t="s">
        <v>104</v>
      </c>
      <c r="C41" s="44" t="s">
        <v>43</v>
      </c>
      <c r="D41" s="44" t="s">
        <v>268</v>
      </c>
      <c r="E41" s="44">
        <v>126259</v>
      </c>
      <c r="F41" s="44"/>
      <c r="G41" s="44"/>
      <c r="H41" s="44">
        <v>13888</v>
      </c>
    </row>
    <row r="42" spans="1:8">
      <c r="A42" s="45">
        <v>2010</v>
      </c>
      <c r="B42" s="45" t="s">
        <v>104</v>
      </c>
      <c r="C42" s="45" t="s">
        <v>43</v>
      </c>
      <c r="D42" s="45" t="s">
        <v>269</v>
      </c>
      <c r="E42" s="45">
        <v>99113</v>
      </c>
      <c r="F42" s="45"/>
      <c r="G42" s="45"/>
      <c r="H42" s="45">
        <v>10902</v>
      </c>
    </row>
    <row r="43" spans="1:8">
      <c r="A43" s="44">
        <v>2010</v>
      </c>
      <c r="B43" s="44" t="s">
        <v>104</v>
      </c>
      <c r="C43" s="44" t="s">
        <v>43</v>
      </c>
      <c r="D43" s="44" t="s">
        <v>254</v>
      </c>
      <c r="E43" s="44">
        <v>88048</v>
      </c>
      <c r="F43" s="44"/>
      <c r="G43" s="44"/>
      <c r="H43" s="44">
        <v>9685</v>
      </c>
    </row>
    <row r="44" spans="1:8">
      <c r="A44" s="45">
        <v>2010</v>
      </c>
      <c r="B44" s="45" t="s">
        <v>104</v>
      </c>
      <c r="C44" s="45" t="s">
        <v>43</v>
      </c>
      <c r="D44" s="45" t="s">
        <v>270</v>
      </c>
      <c r="E44" s="45">
        <v>69022</v>
      </c>
      <c r="F44" s="45"/>
      <c r="G44" s="45"/>
      <c r="H44" s="45">
        <v>7592</v>
      </c>
    </row>
    <row r="45" spans="1:8">
      <c r="A45" s="44">
        <v>2010</v>
      </c>
      <c r="B45" s="44" t="s">
        <v>104</v>
      </c>
      <c r="C45" s="44" t="s">
        <v>43</v>
      </c>
      <c r="D45" s="44" t="s">
        <v>271</v>
      </c>
      <c r="E45" s="44">
        <v>61632</v>
      </c>
      <c r="F45" s="44"/>
      <c r="G45" s="44"/>
      <c r="H45" s="44">
        <v>6779</v>
      </c>
    </row>
    <row r="46" spans="1:8">
      <c r="A46" s="45">
        <v>2010</v>
      </c>
      <c r="B46" s="45" t="s">
        <v>104</v>
      </c>
      <c r="C46" s="45" t="s">
        <v>43</v>
      </c>
      <c r="D46" s="45" t="s">
        <v>272</v>
      </c>
      <c r="E46" s="45">
        <v>41737</v>
      </c>
      <c r="F46" s="45"/>
      <c r="G46" s="45"/>
      <c r="H46" s="45">
        <v>4591</v>
      </c>
    </row>
    <row r="47" spans="1:8">
      <c r="A47" s="44">
        <v>2010</v>
      </c>
      <c r="B47" s="44" t="s">
        <v>104</v>
      </c>
      <c r="C47" s="44" t="s">
        <v>43</v>
      </c>
      <c r="D47" s="44" t="s">
        <v>273</v>
      </c>
      <c r="E47" s="44">
        <v>36735</v>
      </c>
      <c r="F47" s="44"/>
      <c r="G47" s="44"/>
      <c r="H47" s="44">
        <v>4040</v>
      </c>
    </row>
    <row r="48" spans="1:8">
      <c r="A48" s="45">
        <v>2010</v>
      </c>
      <c r="B48" s="45" t="s">
        <v>104</v>
      </c>
      <c r="C48" s="45" t="s">
        <v>43</v>
      </c>
      <c r="D48" s="45" t="s">
        <v>274</v>
      </c>
      <c r="E48" s="45">
        <v>23697</v>
      </c>
      <c r="F48" s="45"/>
      <c r="G48" s="45"/>
      <c r="H48" s="45">
        <v>2606</v>
      </c>
    </row>
    <row r="49" spans="1:8">
      <c r="A49" s="44">
        <v>2010</v>
      </c>
      <c r="B49" s="44" t="s">
        <v>104</v>
      </c>
      <c r="C49" s="44" t="s">
        <v>43</v>
      </c>
      <c r="D49" s="44" t="s">
        <v>275</v>
      </c>
      <c r="E49" s="44">
        <v>22829</v>
      </c>
      <c r="F49" s="44"/>
      <c r="G49" s="44"/>
      <c r="H49" s="44">
        <v>2511</v>
      </c>
    </row>
    <row r="50" spans="1:8">
      <c r="A50" s="45">
        <v>2010</v>
      </c>
      <c r="B50" s="45" t="s">
        <v>104</v>
      </c>
      <c r="C50" s="45" t="s">
        <v>43</v>
      </c>
      <c r="D50" s="45" t="s">
        <v>276</v>
      </c>
      <c r="E50" s="45">
        <v>15298</v>
      </c>
      <c r="F50" s="45"/>
      <c r="G50" s="45"/>
      <c r="H50" s="45">
        <v>1682</v>
      </c>
    </row>
    <row r="51" spans="1:8">
      <c r="A51" s="44">
        <v>2010</v>
      </c>
      <c r="B51" s="44" t="s">
        <v>104</v>
      </c>
      <c r="C51" s="44" t="s">
        <v>43</v>
      </c>
      <c r="D51" s="44" t="s">
        <v>277</v>
      </c>
      <c r="E51" s="44">
        <v>13551</v>
      </c>
      <c r="F51" s="44"/>
      <c r="G51" s="44"/>
      <c r="H51" s="44">
        <v>1490</v>
      </c>
    </row>
    <row r="52" spans="1:8">
      <c r="A52" s="45">
        <v>2010</v>
      </c>
      <c r="B52" s="45" t="s">
        <v>104</v>
      </c>
      <c r="C52" s="45" t="s">
        <v>43</v>
      </c>
      <c r="D52" s="45" t="s">
        <v>278</v>
      </c>
      <c r="E52" s="45">
        <v>12233</v>
      </c>
      <c r="F52" s="45"/>
      <c r="G52" s="45"/>
      <c r="H52" s="45">
        <v>1345</v>
      </c>
    </row>
    <row r="53" spans="1:8">
      <c r="A53" s="44">
        <v>2010</v>
      </c>
      <c r="B53" s="44" t="s">
        <v>104</v>
      </c>
      <c r="C53" s="44" t="s">
        <v>43</v>
      </c>
      <c r="D53" s="44" t="s">
        <v>279</v>
      </c>
      <c r="E53" s="44">
        <v>10276</v>
      </c>
      <c r="F53" s="44"/>
      <c r="G53" s="44"/>
      <c r="H53" s="44">
        <v>1335</v>
      </c>
    </row>
    <row r="54" spans="1:8">
      <c r="A54" s="45">
        <v>2010</v>
      </c>
      <c r="B54" s="45" t="s">
        <v>104</v>
      </c>
      <c r="C54" s="45" t="s">
        <v>43</v>
      </c>
      <c r="D54" s="45" t="s">
        <v>280</v>
      </c>
      <c r="E54" s="45">
        <v>6940</v>
      </c>
      <c r="F54" s="45"/>
      <c r="G54" s="45"/>
      <c r="H54" s="45">
        <v>902</v>
      </c>
    </row>
    <row r="55" spans="1:8">
      <c r="A55" s="44">
        <v>2010</v>
      </c>
      <c r="B55" s="44" t="s">
        <v>104</v>
      </c>
      <c r="C55" s="44" t="s">
        <v>43</v>
      </c>
      <c r="D55" s="44" t="s">
        <v>281</v>
      </c>
      <c r="E55" s="44">
        <v>4764</v>
      </c>
      <c r="F55" s="44"/>
      <c r="G55" s="44"/>
      <c r="H55" s="44">
        <v>619</v>
      </c>
    </row>
    <row r="56" spans="1:8">
      <c r="A56" s="45">
        <v>2010</v>
      </c>
      <c r="B56" s="45" t="s">
        <v>104</v>
      </c>
      <c r="C56" s="45" t="s">
        <v>43</v>
      </c>
      <c r="D56" s="45" t="s">
        <v>282</v>
      </c>
      <c r="E56" s="45">
        <v>2406</v>
      </c>
      <c r="F56" s="45"/>
      <c r="G56" s="45"/>
      <c r="H56" s="45">
        <v>312</v>
      </c>
    </row>
    <row r="57" spans="1:8">
      <c r="A57" s="44">
        <v>2010</v>
      </c>
      <c r="B57" s="44" t="s">
        <v>104</v>
      </c>
      <c r="C57" s="44" t="s">
        <v>43</v>
      </c>
      <c r="D57" s="44" t="s">
        <v>283</v>
      </c>
      <c r="E57" s="44">
        <v>1372</v>
      </c>
      <c r="F57" s="44"/>
      <c r="G57" s="44"/>
      <c r="H57" s="44">
        <v>178</v>
      </c>
    </row>
    <row r="58" spans="1:8">
      <c r="A58" s="45">
        <v>2010</v>
      </c>
      <c r="B58" s="45" t="s">
        <v>104</v>
      </c>
      <c r="C58" s="45" t="s">
        <v>43</v>
      </c>
      <c r="D58" s="45" t="s">
        <v>284</v>
      </c>
      <c r="E58" s="45">
        <v>1173</v>
      </c>
      <c r="F58" s="45"/>
      <c r="G58" s="45"/>
      <c r="H58" s="45">
        <v>152</v>
      </c>
    </row>
    <row r="59" spans="1:8">
      <c r="A59" s="45">
        <v>2010</v>
      </c>
      <c r="B59" s="45" t="s">
        <v>105</v>
      </c>
      <c r="C59" s="45" t="s">
        <v>43</v>
      </c>
      <c r="D59" s="45" t="s">
        <v>267</v>
      </c>
      <c r="E59" s="45">
        <v>108626</v>
      </c>
      <c r="F59" s="45"/>
      <c r="G59" s="45"/>
      <c r="H59" s="45">
        <v>14121</v>
      </c>
    </row>
    <row r="60" spans="1:8">
      <c r="A60" s="44">
        <v>2010</v>
      </c>
      <c r="B60" s="44" t="s">
        <v>105</v>
      </c>
      <c r="C60" s="44" t="s">
        <v>43</v>
      </c>
      <c r="D60" s="44" t="s">
        <v>268</v>
      </c>
      <c r="E60" s="44">
        <v>80315</v>
      </c>
      <c r="F60" s="44"/>
      <c r="G60" s="44"/>
      <c r="H60" s="44">
        <v>8834</v>
      </c>
    </row>
    <row r="61" spans="1:8">
      <c r="A61" s="45">
        <v>2010</v>
      </c>
      <c r="B61" s="45" t="s">
        <v>105</v>
      </c>
      <c r="C61" s="45" t="s">
        <v>43</v>
      </c>
      <c r="D61" s="45" t="s">
        <v>269</v>
      </c>
      <c r="E61" s="45">
        <v>59996</v>
      </c>
      <c r="F61" s="45"/>
      <c r="G61" s="45"/>
      <c r="H61" s="45">
        <v>6599</v>
      </c>
    </row>
    <row r="62" spans="1:8">
      <c r="A62" s="44">
        <v>2010</v>
      </c>
      <c r="B62" s="44" t="s">
        <v>105</v>
      </c>
      <c r="C62" s="44" t="s">
        <v>43</v>
      </c>
      <c r="D62" s="44" t="s">
        <v>254</v>
      </c>
      <c r="E62" s="44">
        <v>55569</v>
      </c>
      <c r="F62" s="44"/>
      <c r="G62" s="44"/>
      <c r="H62" s="44">
        <v>6112</v>
      </c>
    </row>
    <row r="63" spans="1:8">
      <c r="A63" s="45">
        <v>2010</v>
      </c>
      <c r="B63" s="45" t="s">
        <v>105</v>
      </c>
      <c r="C63" s="45" t="s">
        <v>43</v>
      </c>
      <c r="D63" s="45" t="s">
        <v>270</v>
      </c>
      <c r="E63" s="45">
        <v>41696</v>
      </c>
      <c r="F63" s="45"/>
      <c r="G63" s="45"/>
      <c r="H63" s="45">
        <v>4586</v>
      </c>
    </row>
    <row r="64" spans="1:8">
      <c r="A64" s="44">
        <v>2010</v>
      </c>
      <c r="B64" s="44" t="s">
        <v>105</v>
      </c>
      <c r="C64" s="44" t="s">
        <v>43</v>
      </c>
      <c r="D64" s="44" t="s">
        <v>271</v>
      </c>
      <c r="E64" s="44">
        <v>39633</v>
      </c>
      <c r="F64" s="44"/>
      <c r="G64" s="44"/>
      <c r="H64" s="44">
        <v>4359</v>
      </c>
    </row>
    <row r="65" spans="1:8">
      <c r="A65" s="45">
        <v>2010</v>
      </c>
      <c r="B65" s="45" t="s">
        <v>105</v>
      </c>
      <c r="C65" s="45" t="s">
        <v>43</v>
      </c>
      <c r="D65" s="45" t="s">
        <v>272</v>
      </c>
      <c r="E65" s="45">
        <v>26525</v>
      </c>
      <c r="F65" s="45"/>
      <c r="G65" s="45"/>
      <c r="H65" s="45">
        <v>2917</v>
      </c>
    </row>
    <row r="66" spans="1:8">
      <c r="A66" s="44">
        <v>2010</v>
      </c>
      <c r="B66" s="44" t="s">
        <v>105</v>
      </c>
      <c r="C66" s="44" t="s">
        <v>43</v>
      </c>
      <c r="D66" s="44" t="s">
        <v>273</v>
      </c>
      <c r="E66" s="44">
        <v>23211</v>
      </c>
      <c r="F66" s="44"/>
      <c r="G66" s="44"/>
      <c r="H66" s="44">
        <v>2553</v>
      </c>
    </row>
    <row r="67" spans="1:8">
      <c r="A67" s="45">
        <v>2010</v>
      </c>
      <c r="B67" s="45" t="s">
        <v>105</v>
      </c>
      <c r="C67" s="45" t="s">
        <v>43</v>
      </c>
      <c r="D67" s="45" t="s">
        <v>274</v>
      </c>
      <c r="E67" s="45">
        <v>15804</v>
      </c>
      <c r="F67" s="45"/>
      <c r="G67" s="45"/>
      <c r="H67" s="45">
        <v>1738</v>
      </c>
    </row>
    <row r="68" spans="1:8">
      <c r="A68" s="44">
        <v>2010</v>
      </c>
      <c r="B68" s="44" t="s">
        <v>105</v>
      </c>
      <c r="C68" s="44" t="s">
        <v>43</v>
      </c>
      <c r="D68" s="44" t="s">
        <v>275</v>
      </c>
      <c r="E68" s="44">
        <v>14448</v>
      </c>
      <c r="F68" s="44"/>
      <c r="G68" s="44"/>
      <c r="H68" s="44">
        <v>1589</v>
      </c>
    </row>
    <row r="69" spans="1:8">
      <c r="A69" s="45">
        <v>2010</v>
      </c>
      <c r="B69" s="45" t="s">
        <v>105</v>
      </c>
      <c r="C69" s="45" t="s">
        <v>43</v>
      </c>
      <c r="D69" s="45" t="s">
        <v>276</v>
      </c>
      <c r="E69" s="45">
        <v>10075</v>
      </c>
      <c r="F69" s="45"/>
      <c r="G69" s="45"/>
      <c r="H69" s="45">
        <v>1108</v>
      </c>
    </row>
    <row r="70" spans="1:8">
      <c r="A70" s="44">
        <v>2010</v>
      </c>
      <c r="B70" s="44" t="s">
        <v>105</v>
      </c>
      <c r="C70" s="44" t="s">
        <v>43</v>
      </c>
      <c r="D70" s="44" t="s">
        <v>277</v>
      </c>
      <c r="E70" s="44">
        <v>8696</v>
      </c>
      <c r="F70" s="44"/>
      <c r="G70" s="44"/>
      <c r="H70" s="44">
        <v>956</v>
      </c>
    </row>
    <row r="71" spans="1:8">
      <c r="A71" s="45">
        <v>2010</v>
      </c>
      <c r="B71" s="45" t="s">
        <v>105</v>
      </c>
      <c r="C71" s="45" t="s">
        <v>43</v>
      </c>
      <c r="D71" s="45" t="s">
        <v>278</v>
      </c>
      <c r="E71" s="45">
        <v>6980</v>
      </c>
      <c r="F71" s="45"/>
      <c r="G71" s="45"/>
      <c r="H71" s="45">
        <v>767</v>
      </c>
    </row>
    <row r="72" spans="1:8">
      <c r="A72" s="44">
        <v>2010</v>
      </c>
      <c r="B72" s="44" t="s">
        <v>105</v>
      </c>
      <c r="C72" s="44" t="s">
        <v>43</v>
      </c>
      <c r="D72" s="44" t="s">
        <v>279</v>
      </c>
      <c r="E72" s="44">
        <v>5317</v>
      </c>
      <c r="F72" s="44"/>
      <c r="G72" s="44"/>
      <c r="H72" s="44">
        <v>691</v>
      </c>
    </row>
    <row r="73" spans="1:8">
      <c r="A73" s="45">
        <v>2010</v>
      </c>
      <c r="B73" s="45" t="s">
        <v>105</v>
      </c>
      <c r="C73" s="45" t="s">
        <v>43</v>
      </c>
      <c r="D73" s="45" t="s">
        <v>280</v>
      </c>
      <c r="E73" s="45">
        <v>3078</v>
      </c>
      <c r="F73" s="45"/>
      <c r="G73" s="45"/>
      <c r="H73" s="45">
        <v>400</v>
      </c>
    </row>
    <row r="74" spans="1:8">
      <c r="A74" s="44">
        <v>2010</v>
      </c>
      <c r="B74" s="44" t="s">
        <v>105</v>
      </c>
      <c r="C74" s="44" t="s">
        <v>43</v>
      </c>
      <c r="D74" s="44" t="s">
        <v>281</v>
      </c>
      <c r="E74" s="44">
        <v>1898</v>
      </c>
      <c r="F74" s="44"/>
      <c r="G74" s="44"/>
      <c r="H74" s="44">
        <v>246</v>
      </c>
    </row>
    <row r="75" spans="1:8">
      <c r="A75" s="45">
        <v>2010</v>
      </c>
      <c r="B75" s="45" t="s">
        <v>105</v>
      </c>
      <c r="C75" s="45" t="s">
        <v>43</v>
      </c>
      <c r="D75" s="45" t="s">
        <v>282</v>
      </c>
      <c r="E75" s="45">
        <v>752</v>
      </c>
      <c r="F75" s="45"/>
      <c r="G75" s="45"/>
      <c r="H75" s="45">
        <v>97</v>
      </c>
    </row>
    <row r="76" spans="1:8">
      <c r="A76" s="44">
        <v>2010</v>
      </c>
      <c r="B76" s="44" t="s">
        <v>105</v>
      </c>
      <c r="C76" s="44" t="s">
        <v>43</v>
      </c>
      <c r="D76" s="44" t="s">
        <v>283</v>
      </c>
      <c r="E76" s="44">
        <v>441</v>
      </c>
      <c r="F76" s="44"/>
      <c r="G76" s="44"/>
      <c r="H76" s="44">
        <v>57</v>
      </c>
    </row>
    <row r="77" spans="1:8">
      <c r="A77" s="45">
        <v>2010</v>
      </c>
      <c r="B77" s="45" t="s">
        <v>105</v>
      </c>
      <c r="C77" s="45" t="s">
        <v>43</v>
      </c>
      <c r="D77" s="45" t="s">
        <v>284</v>
      </c>
      <c r="E77" s="45">
        <v>278</v>
      </c>
      <c r="F77" s="45"/>
      <c r="G77" s="45"/>
      <c r="H77" s="45">
        <v>36</v>
      </c>
    </row>
    <row r="78" spans="1:8">
      <c r="A78" s="45">
        <v>2010</v>
      </c>
      <c r="B78" s="45" t="s">
        <v>106</v>
      </c>
      <c r="C78" s="45" t="s">
        <v>43</v>
      </c>
      <c r="D78" s="45" t="s">
        <v>267</v>
      </c>
      <c r="E78" s="45">
        <v>196810</v>
      </c>
      <c r="F78" s="45"/>
      <c r="G78" s="45"/>
      <c r="H78" s="45">
        <v>25585</v>
      </c>
    </row>
    <row r="79" spans="1:8">
      <c r="A79" s="44">
        <v>2010</v>
      </c>
      <c r="B79" s="44" t="s">
        <v>106</v>
      </c>
      <c r="C79" s="44" t="s">
        <v>43</v>
      </c>
      <c r="D79" s="44" t="s">
        <v>268</v>
      </c>
      <c r="E79" s="44">
        <v>145081</v>
      </c>
      <c r="F79" s="44"/>
      <c r="G79" s="44"/>
      <c r="H79" s="44">
        <v>15958</v>
      </c>
    </row>
    <row r="80" spans="1:8">
      <c r="A80" s="45">
        <v>2010</v>
      </c>
      <c r="B80" s="45" t="s">
        <v>106</v>
      </c>
      <c r="C80" s="45" t="s">
        <v>43</v>
      </c>
      <c r="D80" s="45" t="s">
        <v>269</v>
      </c>
      <c r="E80" s="45">
        <v>139164</v>
      </c>
      <c r="F80" s="45"/>
      <c r="G80" s="45"/>
      <c r="H80" s="45">
        <v>15308</v>
      </c>
    </row>
    <row r="81" spans="1:8">
      <c r="A81" s="44">
        <v>2010</v>
      </c>
      <c r="B81" s="44" t="s">
        <v>106</v>
      </c>
      <c r="C81" s="44" t="s">
        <v>43</v>
      </c>
      <c r="D81" s="44" t="s">
        <v>254</v>
      </c>
      <c r="E81" s="44">
        <v>137616</v>
      </c>
      <c r="F81" s="44"/>
      <c r="G81" s="44"/>
      <c r="H81" s="44">
        <v>15137</v>
      </c>
    </row>
    <row r="82" spans="1:8">
      <c r="A82" s="45">
        <v>2010</v>
      </c>
      <c r="B82" s="45" t="s">
        <v>106</v>
      </c>
      <c r="C82" s="45" t="s">
        <v>43</v>
      </c>
      <c r="D82" s="45" t="s">
        <v>270</v>
      </c>
      <c r="E82" s="45">
        <v>124019</v>
      </c>
      <c r="F82" s="45"/>
      <c r="G82" s="45"/>
      <c r="H82" s="45">
        <v>13642</v>
      </c>
    </row>
    <row r="83" spans="1:8">
      <c r="A83" s="44">
        <v>2010</v>
      </c>
      <c r="B83" s="44" t="s">
        <v>106</v>
      </c>
      <c r="C83" s="44" t="s">
        <v>43</v>
      </c>
      <c r="D83" s="44" t="s">
        <v>271</v>
      </c>
      <c r="E83" s="44">
        <v>113430</v>
      </c>
      <c r="F83" s="44"/>
      <c r="G83" s="44"/>
      <c r="H83" s="44">
        <v>12477</v>
      </c>
    </row>
    <row r="84" spans="1:8">
      <c r="A84" s="45">
        <v>2010</v>
      </c>
      <c r="B84" s="45" t="s">
        <v>106</v>
      </c>
      <c r="C84" s="45" t="s">
        <v>43</v>
      </c>
      <c r="D84" s="45" t="s">
        <v>272</v>
      </c>
      <c r="E84" s="45">
        <v>77300</v>
      </c>
      <c r="F84" s="45"/>
      <c r="G84" s="45"/>
      <c r="H84" s="45">
        <v>8503</v>
      </c>
    </row>
    <row r="85" spans="1:8">
      <c r="A85" s="44">
        <v>2010</v>
      </c>
      <c r="B85" s="44" t="s">
        <v>106</v>
      </c>
      <c r="C85" s="44" t="s">
        <v>43</v>
      </c>
      <c r="D85" s="44" t="s">
        <v>273</v>
      </c>
      <c r="E85" s="44">
        <v>57163</v>
      </c>
      <c r="F85" s="44"/>
      <c r="G85" s="44"/>
      <c r="H85" s="44">
        <v>6287</v>
      </c>
    </row>
    <row r="86" spans="1:8">
      <c r="A86" s="45">
        <v>2010</v>
      </c>
      <c r="B86" s="45" t="s">
        <v>106</v>
      </c>
      <c r="C86" s="45" t="s">
        <v>43</v>
      </c>
      <c r="D86" s="45" t="s">
        <v>274</v>
      </c>
      <c r="E86" s="45">
        <v>32559</v>
      </c>
      <c r="F86" s="45"/>
      <c r="G86" s="45"/>
      <c r="H86" s="45">
        <v>3581</v>
      </c>
    </row>
    <row r="87" spans="1:8">
      <c r="A87" s="44">
        <v>2010</v>
      </c>
      <c r="B87" s="44" t="s">
        <v>106</v>
      </c>
      <c r="C87" s="44" t="s">
        <v>43</v>
      </c>
      <c r="D87" s="44" t="s">
        <v>275</v>
      </c>
      <c r="E87" s="44">
        <v>27516</v>
      </c>
      <c r="F87" s="44"/>
      <c r="G87" s="44"/>
      <c r="H87" s="44">
        <v>3026</v>
      </c>
    </row>
    <row r="88" spans="1:8">
      <c r="A88" s="45">
        <v>2010</v>
      </c>
      <c r="B88" s="45" t="s">
        <v>106</v>
      </c>
      <c r="C88" s="45" t="s">
        <v>43</v>
      </c>
      <c r="D88" s="45" t="s">
        <v>276</v>
      </c>
      <c r="E88" s="45">
        <v>18748</v>
      </c>
      <c r="F88" s="45"/>
      <c r="G88" s="45"/>
      <c r="H88" s="45">
        <v>2062</v>
      </c>
    </row>
    <row r="89" spans="1:8">
      <c r="A89" s="44">
        <v>2010</v>
      </c>
      <c r="B89" s="44" t="s">
        <v>106</v>
      </c>
      <c r="C89" s="44" t="s">
        <v>43</v>
      </c>
      <c r="D89" s="44" t="s">
        <v>277</v>
      </c>
      <c r="E89" s="44">
        <v>13093</v>
      </c>
      <c r="F89" s="44"/>
      <c r="G89" s="44"/>
      <c r="H89" s="44">
        <v>1440</v>
      </c>
    </row>
    <row r="90" spans="1:8">
      <c r="A90" s="45">
        <v>2010</v>
      </c>
      <c r="B90" s="45" t="s">
        <v>106</v>
      </c>
      <c r="C90" s="45" t="s">
        <v>43</v>
      </c>
      <c r="D90" s="45" t="s">
        <v>278</v>
      </c>
      <c r="E90" s="45">
        <v>9299</v>
      </c>
      <c r="F90" s="45"/>
      <c r="G90" s="45"/>
      <c r="H90" s="45">
        <v>1022</v>
      </c>
    </row>
    <row r="91" spans="1:8">
      <c r="A91" s="44">
        <v>2010</v>
      </c>
      <c r="B91" s="44" t="s">
        <v>106</v>
      </c>
      <c r="C91" s="44" t="s">
        <v>43</v>
      </c>
      <c r="D91" s="44" t="s">
        <v>279</v>
      </c>
      <c r="E91" s="44">
        <v>6254</v>
      </c>
      <c r="F91" s="44"/>
      <c r="G91" s="44"/>
      <c r="H91" s="44">
        <v>813</v>
      </c>
    </row>
    <row r="92" spans="1:8">
      <c r="A92" s="45">
        <v>2010</v>
      </c>
      <c r="B92" s="45" t="s">
        <v>106</v>
      </c>
      <c r="C92" s="45" t="s">
        <v>43</v>
      </c>
      <c r="D92" s="45" t="s">
        <v>280</v>
      </c>
      <c r="E92" s="45">
        <v>4208</v>
      </c>
      <c r="F92" s="45"/>
      <c r="G92" s="45"/>
      <c r="H92" s="45">
        <v>547</v>
      </c>
    </row>
    <row r="93" spans="1:8">
      <c r="A93" s="44">
        <v>2010</v>
      </c>
      <c r="B93" s="44" t="s">
        <v>106</v>
      </c>
      <c r="C93" s="44" t="s">
        <v>43</v>
      </c>
      <c r="D93" s="44" t="s">
        <v>281</v>
      </c>
      <c r="E93" s="44">
        <v>2863</v>
      </c>
      <c r="F93" s="44"/>
      <c r="G93" s="44"/>
      <c r="H93" s="44">
        <v>372</v>
      </c>
    </row>
    <row r="94" spans="1:8">
      <c r="A94" s="45">
        <v>2010</v>
      </c>
      <c r="B94" s="45" t="s">
        <v>106</v>
      </c>
      <c r="C94" s="45" t="s">
        <v>43</v>
      </c>
      <c r="D94" s="45" t="s">
        <v>282</v>
      </c>
      <c r="E94" s="45">
        <v>1454</v>
      </c>
      <c r="F94" s="45"/>
      <c r="G94" s="45"/>
      <c r="H94" s="45">
        <v>189</v>
      </c>
    </row>
    <row r="95" spans="1:8">
      <c r="A95" s="44">
        <v>2010</v>
      </c>
      <c r="B95" s="44" t="s">
        <v>106</v>
      </c>
      <c r="C95" s="44" t="s">
        <v>43</v>
      </c>
      <c r="D95" s="44" t="s">
        <v>283</v>
      </c>
      <c r="E95" s="44">
        <v>923</v>
      </c>
      <c r="F95" s="44"/>
      <c r="G95" s="44"/>
      <c r="H95" s="44">
        <v>119</v>
      </c>
    </row>
    <row r="96" spans="1:8">
      <c r="A96" s="45">
        <v>2010</v>
      </c>
      <c r="B96" s="45" t="s">
        <v>106</v>
      </c>
      <c r="C96" s="45" t="s">
        <v>43</v>
      </c>
      <c r="D96" s="45" t="s">
        <v>284</v>
      </c>
      <c r="E96" s="45">
        <v>727</v>
      </c>
      <c r="F96" s="45"/>
      <c r="G96" s="45"/>
      <c r="H96" s="45">
        <v>94</v>
      </c>
    </row>
    <row r="97" spans="1:8">
      <c r="A97" s="45">
        <v>2010</v>
      </c>
      <c r="B97" s="45" t="s">
        <v>107</v>
      </c>
      <c r="C97" s="45" t="s">
        <v>43</v>
      </c>
      <c r="D97" s="45" t="s">
        <v>267</v>
      </c>
      <c r="E97" s="45">
        <v>78923</v>
      </c>
      <c r="F97" s="45"/>
      <c r="G97" s="45"/>
      <c r="H97" s="45">
        <v>10259</v>
      </c>
    </row>
    <row r="98" spans="1:8">
      <c r="A98" s="44">
        <v>2010</v>
      </c>
      <c r="B98" s="44" t="s">
        <v>107</v>
      </c>
      <c r="C98" s="44" t="s">
        <v>43</v>
      </c>
      <c r="D98" s="44" t="s">
        <v>268</v>
      </c>
      <c r="E98" s="44">
        <v>59001</v>
      </c>
      <c r="F98" s="44"/>
      <c r="G98" s="44"/>
      <c r="H98" s="44">
        <v>6490</v>
      </c>
    </row>
    <row r="99" spans="1:8">
      <c r="A99" s="45">
        <v>2010</v>
      </c>
      <c r="B99" s="45" t="s">
        <v>107</v>
      </c>
      <c r="C99" s="45" t="s">
        <v>43</v>
      </c>
      <c r="D99" s="45" t="s">
        <v>269</v>
      </c>
      <c r="E99" s="45">
        <v>44058</v>
      </c>
      <c r="F99" s="45"/>
      <c r="G99" s="45"/>
      <c r="H99" s="45">
        <v>4846</v>
      </c>
    </row>
    <row r="100" spans="1:8">
      <c r="A100" s="44">
        <v>2010</v>
      </c>
      <c r="B100" s="44" t="s">
        <v>107</v>
      </c>
      <c r="C100" s="44" t="s">
        <v>43</v>
      </c>
      <c r="D100" s="44" t="s">
        <v>254</v>
      </c>
      <c r="E100" s="44">
        <v>40379</v>
      </c>
      <c r="F100" s="44"/>
      <c r="G100" s="44"/>
      <c r="H100" s="44">
        <v>4441</v>
      </c>
    </row>
    <row r="101" spans="1:8">
      <c r="A101" s="45">
        <v>2010</v>
      </c>
      <c r="B101" s="45" t="s">
        <v>107</v>
      </c>
      <c r="C101" s="45" t="s">
        <v>43</v>
      </c>
      <c r="D101" s="45" t="s">
        <v>270</v>
      </c>
      <c r="E101" s="45">
        <v>30977</v>
      </c>
      <c r="F101" s="45"/>
      <c r="G101" s="45"/>
      <c r="H101" s="45">
        <v>3407</v>
      </c>
    </row>
    <row r="102" spans="1:8">
      <c r="A102" s="44">
        <v>2010</v>
      </c>
      <c r="B102" s="44" t="s">
        <v>107</v>
      </c>
      <c r="C102" s="44" t="s">
        <v>43</v>
      </c>
      <c r="D102" s="44" t="s">
        <v>271</v>
      </c>
      <c r="E102" s="44">
        <v>27705</v>
      </c>
      <c r="F102" s="44"/>
      <c r="G102" s="44"/>
      <c r="H102" s="44">
        <v>3047</v>
      </c>
    </row>
    <row r="103" spans="1:8">
      <c r="A103" s="45">
        <v>2010</v>
      </c>
      <c r="B103" s="45" t="s">
        <v>107</v>
      </c>
      <c r="C103" s="45" t="s">
        <v>43</v>
      </c>
      <c r="D103" s="45" t="s">
        <v>272</v>
      </c>
      <c r="E103" s="45">
        <v>17872</v>
      </c>
      <c r="F103" s="45"/>
      <c r="G103" s="45"/>
      <c r="H103" s="45">
        <v>1965</v>
      </c>
    </row>
    <row r="104" spans="1:8">
      <c r="A104" s="44">
        <v>2010</v>
      </c>
      <c r="B104" s="44" t="s">
        <v>107</v>
      </c>
      <c r="C104" s="44" t="s">
        <v>43</v>
      </c>
      <c r="D104" s="44" t="s">
        <v>273</v>
      </c>
      <c r="E104" s="44">
        <v>15802</v>
      </c>
      <c r="F104" s="44"/>
      <c r="G104" s="44"/>
      <c r="H104" s="44">
        <v>1738</v>
      </c>
    </row>
    <row r="105" spans="1:8">
      <c r="A105" s="45">
        <v>2010</v>
      </c>
      <c r="B105" s="45" t="s">
        <v>107</v>
      </c>
      <c r="C105" s="45" t="s">
        <v>43</v>
      </c>
      <c r="D105" s="45" t="s">
        <v>274</v>
      </c>
      <c r="E105" s="45">
        <v>10429</v>
      </c>
      <c r="F105" s="45"/>
      <c r="G105" s="45"/>
      <c r="H105" s="45">
        <v>1147</v>
      </c>
    </row>
    <row r="106" spans="1:8">
      <c r="A106" s="44">
        <v>2010</v>
      </c>
      <c r="B106" s="44" t="s">
        <v>107</v>
      </c>
      <c r="C106" s="44" t="s">
        <v>43</v>
      </c>
      <c r="D106" s="44" t="s">
        <v>275</v>
      </c>
      <c r="E106" s="44">
        <v>9812</v>
      </c>
      <c r="F106" s="44"/>
      <c r="G106" s="44"/>
      <c r="H106" s="44">
        <v>1079</v>
      </c>
    </row>
    <row r="107" spans="1:8">
      <c r="A107" s="45">
        <v>2010</v>
      </c>
      <c r="B107" s="45" t="s">
        <v>107</v>
      </c>
      <c r="C107" s="45" t="s">
        <v>43</v>
      </c>
      <c r="D107" s="45" t="s">
        <v>276</v>
      </c>
      <c r="E107" s="45">
        <v>6398</v>
      </c>
      <c r="F107" s="45"/>
      <c r="G107" s="45"/>
      <c r="H107" s="45">
        <v>703</v>
      </c>
    </row>
    <row r="108" spans="1:8">
      <c r="A108" s="44">
        <v>2010</v>
      </c>
      <c r="B108" s="44" t="s">
        <v>107</v>
      </c>
      <c r="C108" s="44" t="s">
        <v>43</v>
      </c>
      <c r="D108" s="44" t="s">
        <v>277</v>
      </c>
      <c r="E108" s="44">
        <v>5547</v>
      </c>
      <c r="F108" s="44"/>
      <c r="G108" s="44"/>
      <c r="H108" s="44">
        <v>610</v>
      </c>
    </row>
    <row r="109" spans="1:8">
      <c r="A109" s="45">
        <v>2010</v>
      </c>
      <c r="B109" s="45" t="s">
        <v>107</v>
      </c>
      <c r="C109" s="45" t="s">
        <v>43</v>
      </c>
      <c r="D109" s="45" t="s">
        <v>278</v>
      </c>
      <c r="E109" s="45">
        <v>5019</v>
      </c>
      <c r="F109" s="45"/>
      <c r="G109" s="45"/>
      <c r="H109" s="45">
        <v>552</v>
      </c>
    </row>
    <row r="110" spans="1:8">
      <c r="A110" s="44">
        <v>2010</v>
      </c>
      <c r="B110" s="44" t="s">
        <v>107</v>
      </c>
      <c r="C110" s="44" t="s">
        <v>43</v>
      </c>
      <c r="D110" s="44" t="s">
        <v>279</v>
      </c>
      <c r="E110" s="44">
        <v>4048</v>
      </c>
      <c r="F110" s="44"/>
      <c r="G110" s="44"/>
      <c r="H110" s="44">
        <v>526</v>
      </c>
    </row>
    <row r="111" spans="1:8">
      <c r="A111" s="45">
        <v>2010</v>
      </c>
      <c r="B111" s="45" t="s">
        <v>107</v>
      </c>
      <c r="C111" s="45" t="s">
        <v>43</v>
      </c>
      <c r="D111" s="45" t="s">
        <v>280</v>
      </c>
      <c r="E111" s="45">
        <v>2660</v>
      </c>
      <c r="F111" s="45"/>
      <c r="G111" s="45"/>
      <c r="H111" s="45">
        <v>345</v>
      </c>
    </row>
    <row r="112" spans="1:8">
      <c r="A112" s="44">
        <v>2010</v>
      </c>
      <c r="B112" s="44" t="s">
        <v>107</v>
      </c>
      <c r="C112" s="44" t="s">
        <v>43</v>
      </c>
      <c r="D112" s="44" t="s">
        <v>281</v>
      </c>
      <c r="E112" s="44">
        <v>1729</v>
      </c>
      <c r="F112" s="44"/>
      <c r="G112" s="44"/>
      <c r="H112" s="44">
        <v>224</v>
      </c>
    </row>
    <row r="113" spans="1:8">
      <c r="A113" s="45">
        <v>2010</v>
      </c>
      <c r="B113" s="45" t="s">
        <v>107</v>
      </c>
      <c r="C113" s="45" t="s">
        <v>43</v>
      </c>
      <c r="D113" s="45" t="s">
        <v>282</v>
      </c>
      <c r="E113" s="45">
        <v>679</v>
      </c>
      <c r="F113" s="45"/>
      <c r="G113" s="45"/>
      <c r="H113" s="45">
        <v>88</v>
      </c>
    </row>
    <row r="114" spans="1:8">
      <c r="A114" s="44">
        <v>2010</v>
      </c>
      <c r="B114" s="44" t="s">
        <v>107</v>
      </c>
      <c r="C114" s="44" t="s">
        <v>43</v>
      </c>
      <c r="D114" s="44" t="s">
        <v>283</v>
      </c>
      <c r="E114" s="44">
        <v>434</v>
      </c>
      <c r="F114" s="44"/>
      <c r="G114" s="44"/>
      <c r="H114" s="44">
        <v>56</v>
      </c>
    </row>
    <row r="115" spans="1:8">
      <c r="A115" s="45">
        <v>2010</v>
      </c>
      <c r="B115" s="45" t="s">
        <v>107</v>
      </c>
      <c r="C115" s="45" t="s">
        <v>43</v>
      </c>
      <c r="D115" s="45" t="s">
        <v>284</v>
      </c>
      <c r="E115" s="45">
        <v>313</v>
      </c>
      <c r="F115" s="45"/>
      <c r="G115" s="45"/>
      <c r="H115" s="45">
        <v>40</v>
      </c>
    </row>
    <row r="116" spans="1:8">
      <c r="A116" s="45">
        <v>2010</v>
      </c>
      <c r="B116" s="45" t="s">
        <v>109</v>
      </c>
      <c r="C116" s="45" t="s">
        <v>43</v>
      </c>
      <c r="D116" s="45" t="s">
        <v>267</v>
      </c>
      <c r="E116" s="45">
        <v>124625</v>
      </c>
      <c r="F116" s="45"/>
      <c r="G116" s="45"/>
      <c r="H116" s="45">
        <v>16201</v>
      </c>
    </row>
    <row r="117" spans="1:8">
      <c r="A117" s="44">
        <v>2010</v>
      </c>
      <c r="B117" s="44" t="s">
        <v>109</v>
      </c>
      <c r="C117" s="44" t="s">
        <v>43</v>
      </c>
      <c r="D117" s="44" t="s">
        <v>268</v>
      </c>
      <c r="E117" s="44">
        <v>91084</v>
      </c>
      <c r="F117" s="44"/>
      <c r="G117" s="44"/>
      <c r="H117" s="44">
        <v>10019</v>
      </c>
    </row>
    <row r="118" spans="1:8">
      <c r="A118" s="45">
        <v>2010</v>
      </c>
      <c r="B118" s="45" t="s">
        <v>109</v>
      </c>
      <c r="C118" s="45" t="s">
        <v>43</v>
      </c>
      <c r="D118" s="45" t="s">
        <v>269</v>
      </c>
      <c r="E118" s="45">
        <v>66376</v>
      </c>
      <c r="F118" s="45"/>
      <c r="G118" s="45"/>
      <c r="H118" s="45">
        <v>7301</v>
      </c>
    </row>
    <row r="119" spans="1:8">
      <c r="A119" s="44">
        <v>2010</v>
      </c>
      <c r="B119" s="44" t="s">
        <v>109</v>
      </c>
      <c r="C119" s="44" t="s">
        <v>43</v>
      </c>
      <c r="D119" s="44" t="s">
        <v>254</v>
      </c>
      <c r="E119" s="44">
        <v>62508</v>
      </c>
      <c r="F119" s="44"/>
      <c r="G119" s="44"/>
      <c r="H119" s="44">
        <v>6875</v>
      </c>
    </row>
    <row r="120" spans="1:8">
      <c r="A120" s="45">
        <v>2010</v>
      </c>
      <c r="B120" s="45" t="s">
        <v>109</v>
      </c>
      <c r="C120" s="45" t="s">
        <v>43</v>
      </c>
      <c r="D120" s="45" t="s">
        <v>270</v>
      </c>
      <c r="E120" s="45">
        <v>47359</v>
      </c>
      <c r="F120" s="45"/>
      <c r="G120" s="45"/>
      <c r="H120" s="45">
        <v>5209</v>
      </c>
    </row>
    <row r="121" spans="1:8">
      <c r="A121" s="44">
        <v>2010</v>
      </c>
      <c r="B121" s="44" t="s">
        <v>109</v>
      </c>
      <c r="C121" s="44" t="s">
        <v>43</v>
      </c>
      <c r="D121" s="44" t="s">
        <v>271</v>
      </c>
      <c r="E121" s="44">
        <v>42520</v>
      </c>
      <c r="F121" s="44"/>
      <c r="G121" s="44"/>
      <c r="H121" s="44">
        <v>4677</v>
      </c>
    </row>
    <row r="122" spans="1:8">
      <c r="A122" s="45">
        <v>2010</v>
      </c>
      <c r="B122" s="45" t="s">
        <v>109</v>
      </c>
      <c r="C122" s="45" t="s">
        <v>43</v>
      </c>
      <c r="D122" s="45" t="s">
        <v>272</v>
      </c>
      <c r="E122" s="45">
        <v>27380</v>
      </c>
      <c r="F122" s="45"/>
      <c r="G122" s="45"/>
      <c r="H122" s="45">
        <v>3011</v>
      </c>
    </row>
    <row r="123" spans="1:8">
      <c r="A123" s="44">
        <v>2010</v>
      </c>
      <c r="B123" s="44" t="s">
        <v>109</v>
      </c>
      <c r="C123" s="44" t="s">
        <v>43</v>
      </c>
      <c r="D123" s="44" t="s">
        <v>273</v>
      </c>
      <c r="E123" s="44">
        <v>24808</v>
      </c>
      <c r="F123" s="44"/>
      <c r="G123" s="44"/>
      <c r="H123" s="44">
        <v>2728</v>
      </c>
    </row>
    <row r="124" spans="1:8">
      <c r="A124" s="45">
        <v>2010</v>
      </c>
      <c r="B124" s="45" t="s">
        <v>109</v>
      </c>
      <c r="C124" s="45" t="s">
        <v>43</v>
      </c>
      <c r="D124" s="45" t="s">
        <v>274</v>
      </c>
      <c r="E124" s="45">
        <v>16389</v>
      </c>
      <c r="F124" s="45"/>
      <c r="G124" s="45"/>
      <c r="H124" s="45">
        <v>1802</v>
      </c>
    </row>
    <row r="125" spans="1:8">
      <c r="A125" s="44">
        <v>2010</v>
      </c>
      <c r="B125" s="44" t="s">
        <v>109</v>
      </c>
      <c r="C125" s="44" t="s">
        <v>43</v>
      </c>
      <c r="D125" s="44" t="s">
        <v>275</v>
      </c>
      <c r="E125" s="44">
        <v>15761</v>
      </c>
      <c r="F125" s="44"/>
      <c r="G125" s="44"/>
      <c r="H125" s="44">
        <v>1733</v>
      </c>
    </row>
    <row r="126" spans="1:8">
      <c r="A126" s="45">
        <v>2010</v>
      </c>
      <c r="B126" s="45" t="s">
        <v>109</v>
      </c>
      <c r="C126" s="45" t="s">
        <v>43</v>
      </c>
      <c r="D126" s="45" t="s">
        <v>276</v>
      </c>
      <c r="E126" s="45">
        <v>10079</v>
      </c>
      <c r="F126" s="45"/>
      <c r="G126" s="45"/>
      <c r="H126" s="45">
        <v>1108</v>
      </c>
    </row>
    <row r="127" spans="1:8">
      <c r="A127" s="44">
        <v>2010</v>
      </c>
      <c r="B127" s="44" t="s">
        <v>109</v>
      </c>
      <c r="C127" s="44" t="s">
        <v>43</v>
      </c>
      <c r="D127" s="44" t="s">
        <v>277</v>
      </c>
      <c r="E127" s="44">
        <v>8739</v>
      </c>
      <c r="F127" s="44"/>
      <c r="G127" s="44"/>
      <c r="H127" s="44">
        <v>961</v>
      </c>
    </row>
    <row r="128" spans="1:8">
      <c r="A128" s="45">
        <v>2010</v>
      </c>
      <c r="B128" s="45" t="s">
        <v>109</v>
      </c>
      <c r="C128" s="45" t="s">
        <v>43</v>
      </c>
      <c r="D128" s="45" t="s">
        <v>278</v>
      </c>
      <c r="E128" s="45">
        <v>7442</v>
      </c>
      <c r="F128" s="45"/>
      <c r="G128" s="45"/>
      <c r="H128" s="45">
        <v>818</v>
      </c>
    </row>
    <row r="129" spans="1:8">
      <c r="A129" s="44">
        <v>2010</v>
      </c>
      <c r="B129" s="44" t="s">
        <v>109</v>
      </c>
      <c r="C129" s="44" t="s">
        <v>43</v>
      </c>
      <c r="D129" s="44" t="s">
        <v>279</v>
      </c>
      <c r="E129" s="44">
        <v>6003</v>
      </c>
      <c r="F129" s="44"/>
      <c r="G129" s="44"/>
      <c r="H129" s="44">
        <v>780</v>
      </c>
    </row>
    <row r="130" spans="1:8">
      <c r="A130" s="45">
        <v>2010</v>
      </c>
      <c r="B130" s="45" t="s">
        <v>109</v>
      </c>
      <c r="C130" s="45" t="s">
        <v>43</v>
      </c>
      <c r="D130" s="45" t="s">
        <v>280</v>
      </c>
      <c r="E130" s="45">
        <v>3571</v>
      </c>
      <c r="F130" s="45"/>
      <c r="G130" s="45"/>
      <c r="H130" s="45">
        <v>464</v>
      </c>
    </row>
    <row r="131" spans="1:8">
      <c r="A131" s="44">
        <v>2010</v>
      </c>
      <c r="B131" s="44" t="s">
        <v>109</v>
      </c>
      <c r="C131" s="44" t="s">
        <v>43</v>
      </c>
      <c r="D131" s="44" t="s">
        <v>281</v>
      </c>
      <c r="E131" s="44">
        <v>2303</v>
      </c>
      <c r="F131" s="44"/>
      <c r="G131" s="44"/>
      <c r="H131" s="44">
        <v>299</v>
      </c>
    </row>
    <row r="132" spans="1:8">
      <c r="A132" s="45">
        <v>2010</v>
      </c>
      <c r="B132" s="45" t="s">
        <v>109</v>
      </c>
      <c r="C132" s="45" t="s">
        <v>43</v>
      </c>
      <c r="D132" s="45" t="s">
        <v>282</v>
      </c>
      <c r="E132" s="45">
        <v>961</v>
      </c>
      <c r="F132" s="45"/>
      <c r="G132" s="45"/>
      <c r="H132" s="45">
        <v>124</v>
      </c>
    </row>
    <row r="133" spans="1:8">
      <c r="A133" s="44">
        <v>2010</v>
      </c>
      <c r="B133" s="44" t="s">
        <v>109</v>
      </c>
      <c r="C133" s="44" t="s">
        <v>43</v>
      </c>
      <c r="D133" s="44" t="s">
        <v>283</v>
      </c>
      <c r="E133" s="44">
        <v>584</v>
      </c>
      <c r="F133" s="44"/>
      <c r="G133" s="44"/>
      <c r="H133" s="44">
        <v>75</v>
      </c>
    </row>
    <row r="134" spans="1:8">
      <c r="A134" s="45">
        <v>2010</v>
      </c>
      <c r="B134" s="45" t="s">
        <v>109</v>
      </c>
      <c r="C134" s="45" t="s">
        <v>43</v>
      </c>
      <c r="D134" s="45" t="s">
        <v>284</v>
      </c>
      <c r="E134" s="45">
        <v>481</v>
      </c>
      <c r="F134" s="45"/>
      <c r="G134" s="45"/>
      <c r="H134" s="45">
        <v>62</v>
      </c>
    </row>
    <row r="135" spans="1:8">
      <c r="A135" s="45">
        <v>2010</v>
      </c>
      <c r="B135" s="45" t="s">
        <v>108</v>
      </c>
      <c r="C135" s="45" t="s">
        <v>43</v>
      </c>
      <c r="D135" s="45" t="s">
        <v>267</v>
      </c>
      <c r="E135" s="45">
        <v>81609</v>
      </c>
      <c r="F135" s="45"/>
      <c r="G135" s="45"/>
      <c r="H135" s="45">
        <v>10609</v>
      </c>
    </row>
    <row r="136" spans="1:8">
      <c r="A136" s="44">
        <v>2010</v>
      </c>
      <c r="B136" s="44" t="s">
        <v>108</v>
      </c>
      <c r="C136" s="44" t="s">
        <v>43</v>
      </c>
      <c r="D136" s="44" t="s">
        <v>268</v>
      </c>
      <c r="E136" s="44">
        <v>58713</v>
      </c>
      <c r="F136" s="44"/>
      <c r="G136" s="44"/>
      <c r="H136" s="44">
        <v>6458</v>
      </c>
    </row>
    <row r="137" spans="1:8">
      <c r="A137" s="45">
        <v>2010</v>
      </c>
      <c r="B137" s="45" t="s">
        <v>108</v>
      </c>
      <c r="C137" s="45" t="s">
        <v>43</v>
      </c>
      <c r="D137" s="45" t="s">
        <v>269</v>
      </c>
      <c r="E137" s="45">
        <v>46360</v>
      </c>
      <c r="F137" s="45"/>
      <c r="G137" s="45"/>
      <c r="H137" s="45">
        <v>5099</v>
      </c>
    </row>
    <row r="138" spans="1:8">
      <c r="A138" s="44">
        <v>2010</v>
      </c>
      <c r="B138" s="44" t="s">
        <v>108</v>
      </c>
      <c r="C138" s="44" t="s">
        <v>43</v>
      </c>
      <c r="D138" s="44" t="s">
        <v>254</v>
      </c>
      <c r="E138" s="44">
        <v>40302</v>
      </c>
      <c r="F138" s="44"/>
      <c r="G138" s="44"/>
      <c r="H138" s="44">
        <v>4433</v>
      </c>
    </row>
    <row r="139" spans="1:8">
      <c r="A139" s="45">
        <v>2010</v>
      </c>
      <c r="B139" s="45" t="s">
        <v>108</v>
      </c>
      <c r="C139" s="45" t="s">
        <v>43</v>
      </c>
      <c r="D139" s="45" t="s">
        <v>270</v>
      </c>
      <c r="E139" s="45">
        <v>31350</v>
      </c>
      <c r="F139" s="45"/>
      <c r="G139" s="45"/>
      <c r="H139" s="45">
        <v>3448</v>
      </c>
    </row>
    <row r="140" spans="1:8">
      <c r="A140" s="44">
        <v>2010</v>
      </c>
      <c r="B140" s="44" t="s">
        <v>108</v>
      </c>
      <c r="C140" s="44" t="s">
        <v>43</v>
      </c>
      <c r="D140" s="44" t="s">
        <v>271</v>
      </c>
      <c r="E140" s="44">
        <v>28695</v>
      </c>
      <c r="F140" s="44"/>
      <c r="G140" s="44"/>
      <c r="H140" s="44">
        <v>3156</v>
      </c>
    </row>
    <row r="141" spans="1:8">
      <c r="A141" s="45">
        <v>2010</v>
      </c>
      <c r="B141" s="45" t="s">
        <v>108</v>
      </c>
      <c r="C141" s="45" t="s">
        <v>43</v>
      </c>
      <c r="D141" s="45" t="s">
        <v>272</v>
      </c>
      <c r="E141" s="45">
        <v>18680</v>
      </c>
      <c r="F141" s="45"/>
      <c r="G141" s="45"/>
      <c r="H141" s="45">
        <v>2054</v>
      </c>
    </row>
    <row r="142" spans="1:8">
      <c r="A142" s="44">
        <v>2010</v>
      </c>
      <c r="B142" s="44" t="s">
        <v>108</v>
      </c>
      <c r="C142" s="44" t="s">
        <v>43</v>
      </c>
      <c r="D142" s="44" t="s">
        <v>273</v>
      </c>
      <c r="E142" s="44">
        <v>16346</v>
      </c>
      <c r="F142" s="44"/>
      <c r="G142" s="44"/>
      <c r="H142" s="44">
        <v>1798</v>
      </c>
    </row>
    <row r="143" spans="1:8">
      <c r="A143" s="45">
        <v>2010</v>
      </c>
      <c r="B143" s="45" t="s">
        <v>108</v>
      </c>
      <c r="C143" s="45" t="s">
        <v>43</v>
      </c>
      <c r="D143" s="45" t="s">
        <v>274</v>
      </c>
      <c r="E143" s="45">
        <v>10695</v>
      </c>
      <c r="F143" s="45"/>
      <c r="G143" s="45"/>
      <c r="H143" s="45">
        <v>1176</v>
      </c>
    </row>
    <row r="144" spans="1:8">
      <c r="A144" s="44">
        <v>2010</v>
      </c>
      <c r="B144" s="44" t="s">
        <v>108</v>
      </c>
      <c r="C144" s="44" t="s">
        <v>43</v>
      </c>
      <c r="D144" s="44" t="s">
        <v>275</v>
      </c>
      <c r="E144" s="44">
        <v>9846</v>
      </c>
      <c r="F144" s="44"/>
      <c r="G144" s="44"/>
      <c r="H144" s="44">
        <v>1083</v>
      </c>
    </row>
    <row r="145" spans="1:8">
      <c r="A145" s="45">
        <v>2010</v>
      </c>
      <c r="B145" s="45" t="s">
        <v>108</v>
      </c>
      <c r="C145" s="45" t="s">
        <v>43</v>
      </c>
      <c r="D145" s="45" t="s">
        <v>276</v>
      </c>
      <c r="E145" s="45">
        <v>6479</v>
      </c>
      <c r="F145" s="45"/>
      <c r="G145" s="45"/>
      <c r="H145" s="45">
        <v>712</v>
      </c>
    </row>
    <row r="146" spans="1:8">
      <c r="A146" s="44">
        <v>2010</v>
      </c>
      <c r="B146" s="44" t="s">
        <v>108</v>
      </c>
      <c r="C146" s="44" t="s">
        <v>43</v>
      </c>
      <c r="D146" s="44" t="s">
        <v>277</v>
      </c>
      <c r="E146" s="44">
        <v>5321</v>
      </c>
      <c r="F146" s="44"/>
      <c r="G146" s="44"/>
      <c r="H146" s="44">
        <v>585</v>
      </c>
    </row>
    <row r="147" spans="1:8">
      <c r="A147" s="45">
        <v>2010</v>
      </c>
      <c r="B147" s="45" t="s">
        <v>108</v>
      </c>
      <c r="C147" s="45" t="s">
        <v>43</v>
      </c>
      <c r="D147" s="45" t="s">
        <v>278</v>
      </c>
      <c r="E147" s="45">
        <v>4560</v>
      </c>
      <c r="F147" s="45"/>
      <c r="G147" s="45"/>
      <c r="H147" s="45">
        <v>501</v>
      </c>
    </row>
    <row r="148" spans="1:8">
      <c r="A148" s="44">
        <v>2010</v>
      </c>
      <c r="B148" s="44" t="s">
        <v>108</v>
      </c>
      <c r="C148" s="44" t="s">
        <v>43</v>
      </c>
      <c r="D148" s="44" t="s">
        <v>279</v>
      </c>
      <c r="E148" s="44">
        <v>3928</v>
      </c>
      <c r="F148" s="44"/>
      <c r="G148" s="44"/>
      <c r="H148" s="44">
        <v>510</v>
      </c>
    </row>
    <row r="149" spans="1:8">
      <c r="A149" s="45">
        <v>2010</v>
      </c>
      <c r="B149" s="45" t="s">
        <v>108</v>
      </c>
      <c r="C149" s="45" t="s">
        <v>43</v>
      </c>
      <c r="D149" s="45" t="s">
        <v>280</v>
      </c>
      <c r="E149" s="45">
        <v>2496</v>
      </c>
      <c r="F149" s="45"/>
      <c r="G149" s="45"/>
      <c r="H149" s="45">
        <v>324</v>
      </c>
    </row>
    <row r="150" spans="1:8">
      <c r="A150" s="44">
        <v>2010</v>
      </c>
      <c r="B150" s="44" t="s">
        <v>108</v>
      </c>
      <c r="C150" s="44" t="s">
        <v>43</v>
      </c>
      <c r="D150" s="44" t="s">
        <v>281</v>
      </c>
      <c r="E150" s="44">
        <v>1850</v>
      </c>
      <c r="F150" s="44"/>
      <c r="G150" s="44"/>
      <c r="H150" s="44">
        <v>240</v>
      </c>
    </row>
    <row r="151" spans="1:8">
      <c r="A151" s="45">
        <v>2010</v>
      </c>
      <c r="B151" s="45" t="s">
        <v>108</v>
      </c>
      <c r="C151" s="45" t="s">
        <v>43</v>
      </c>
      <c r="D151" s="45" t="s">
        <v>282</v>
      </c>
      <c r="E151" s="45">
        <v>752</v>
      </c>
      <c r="F151" s="45"/>
      <c r="G151" s="45"/>
      <c r="H151" s="45">
        <v>97</v>
      </c>
    </row>
    <row r="152" spans="1:8">
      <c r="A152" s="44">
        <v>2010</v>
      </c>
      <c r="B152" s="44" t="s">
        <v>108</v>
      </c>
      <c r="C152" s="44" t="s">
        <v>43</v>
      </c>
      <c r="D152" s="44" t="s">
        <v>283</v>
      </c>
      <c r="E152" s="44">
        <v>434</v>
      </c>
      <c r="F152" s="44"/>
      <c r="G152" s="44"/>
      <c r="H152" s="44">
        <v>56</v>
      </c>
    </row>
    <row r="153" spans="1:8">
      <c r="A153" s="45">
        <v>2010</v>
      </c>
      <c r="B153" s="45" t="s">
        <v>108</v>
      </c>
      <c r="C153" s="45" t="s">
        <v>43</v>
      </c>
      <c r="D153" s="45" t="s">
        <v>284</v>
      </c>
      <c r="E153" s="45">
        <v>487</v>
      </c>
      <c r="F153" s="45"/>
      <c r="G153" s="45"/>
      <c r="H153" s="45">
        <v>63</v>
      </c>
    </row>
    <row r="154" spans="1:8">
      <c r="A154" s="45">
        <v>2010</v>
      </c>
      <c r="B154" s="45" t="s">
        <v>110</v>
      </c>
      <c r="C154" s="45" t="s">
        <v>43</v>
      </c>
      <c r="D154" s="45" t="s">
        <v>267</v>
      </c>
      <c r="E154" s="45">
        <v>172362</v>
      </c>
      <c r="F154" s="45"/>
      <c r="G154" s="45"/>
      <c r="H154" s="45">
        <v>22407</v>
      </c>
    </row>
    <row r="155" spans="1:8">
      <c r="A155" s="44">
        <v>2010</v>
      </c>
      <c r="B155" s="44" t="s">
        <v>110</v>
      </c>
      <c r="C155" s="44" t="s">
        <v>43</v>
      </c>
      <c r="D155" s="44" t="s">
        <v>268</v>
      </c>
      <c r="E155" s="44">
        <v>124846</v>
      </c>
      <c r="F155" s="44"/>
      <c r="G155" s="44"/>
      <c r="H155" s="44">
        <v>13733</v>
      </c>
    </row>
    <row r="156" spans="1:8">
      <c r="A156" s="45">
        <v>2010</v>
      </c>
      <c r="B156" s="45" t="s">
        <v>110</v>
      </c>
      <c r="C156" s="45" t="s">
        <v>43</v>
      </c>
      <c r="D156" s="45" t="s">
        <v>269</v>
      </c>
      <c r="E156" s="45">
        <v>102855</v>
      </c>
      <c r="F156" s="45"/>
      <c r="G156" s="45"/>
      <c r="H156" s="45">
        <v>11314</v>
      </c>
    </row>
    <row r="157" spans="1:8">
      <c r="A157" s="44">
        <v>2010</v>
      </c>
      <c r="B157" s="44" t="s">
        <v>110</v>
      </c>
      <c r="C157" s="44" t="s">
        <v>43</v>
      </c>
      <c r="D157" s="44" t="s">
        <v>254</v>
      </c>
      <c r="E157" s="44">
        <v>93318</v>
      </c>
      <c r="F157" s="44"/>
      <c r="G157" s="44"/>
      <c r="H157" s="44">
        <v>10264</v>
      </c>
    </row>
    <row r="158" spans="1:8">
      <c r="A158" s="45">
        <v>2010</v>
      </c>
      <c r="B158" s="45" t="s">
        <v>110</v>
      </c>
      <c r="C158" s="45" t="s">
        <v>43</v>
      </c>
      <c r="D158" s="45" t="s">
        <v>270</v>
      </c>
      <c r="E158" s="45">
        <v>72916</v>
      </c>
      <c r="F158" s="45"/>
      <c r="G158" s="45"/>
      <c r="H158" s="45">
        <v>8020</v>
      </c>
    </row>
    <row r="159" spans="1:8">
      <c r="A159" s="44">
        <v>2010</v>
      </c>
      <c r="B159" s="44" t="s">
        <v>110</v>
      </c>
      <c r="C159" s="44" t="s">
        <v>43</v>
      </c>
      <c r="D159" s="44" t="s">
        <v>271</v>
      </c>
      <c r="E159" s="44">
        <v>63790</v>
      </c>
      <c r="F159" s="44"/>
      <c r="G159" s="44"/>
      <c r="H159" s="44">
        <v>7016</v>
      </c>
    </row>
    <row r="160" spans="1:8">
      <c r="A160" s="45">
        <v>2010</v>
      </c>
      <c r="B160" s="45" t="s">
        <v>110</v>
      </c>
      <c r="C160" s="45" t="s">
        <v>43</v>
      </c>
      <c r="D160" s="45" t="s">
        <v>272</v>
      </c>
      <c r="E160" s="45">
        <v>45472</v>
      </c>
      <c r="F160" s="45"/>
      <c r="G160" s="45"/>
      <c r="H160" s="45">
        <v>5001</v>
      </c>
    </row>
    <row r="161" spans="1:8">
      <c r="A161" s="44">
        <v>2010</v>
      </c>
      <c r="B161" s="44" t="s">
        <v>110</v>
      </c>
      <c r="C161" s="44" t="s">
        <v>43</v>
      </c>
      <c r="D161" s="44" t="s">
        <v>273</v>
      </c>
      <c r="E161" s="44">
        <v>35493</v>
      </c>
      <c r="F161" s="44"/>
      <c r="G161" s="44"/>
      <c r="H161" s="44">
        <v>3904</v>
      </c>
    </row>
    <row r="162" spans="1:8">
      <c r="A162" s="45">
        <v>2010</v>
      </c>
      <c r="B162" s="45" t="s">
        <v>110</v>
      </c>
      <c r="C162" s="45" t="s">
        <v>43</v>
      </c>
      <c r="D162" s="45" t="s">
        <v>274</v>
      </c>
      <c r="E162" s="45">
        <v>23989</v>
      </c>
      <c r="F162" s="45"/>
      <c r="G162" s="45"/>
      <c r="H162" s="45">
        <v>2638</v>
      </c>
    </row>
    <row r="163" spans="1:8">
      <c r="A163" s="44">
        <v>2010</v>
      </c>
      <c r="B163" s="44" t="s">
        <v>110</v>
      </c>
      <c r="C163" s="44" t="s">
        <v>43</v>
      </c>
      <c r="D163" s="44" t="s">
        <v>275</v>
      </c>
      <c r="E163" s="44">
        <v>20845</v>
      </c>
      <c r="F163" s="44"/>
      <c r="G163" s="44"/>
      <c r="H163" s="44">
        <v>2292</v>
      </c>
    </row>
    <row r="164" spans="1:8">
      <c r="A164" s="45">
        <v>2010</v>
      </c>
      <c r="B164" s="45" t="s">
        <v>110</v>
      </c>
      <c r="C164" s="45" t="s">
        <v>43</v>
      </c>
      <c r="D164" s="45" t="s">
        <v>276</v>
      </c>
      <c r="E164" s="45">
        <v>14565</v>
      </c>
      <c r="F164" s="45"/>
      <c r="G164" s="45"/>
      <c r="H164" s="45">
        <v>1602</v>
      </c>
    </row>
    <row r="165" spans="1:8">
      <c r="A165" s="44">
        <v>2010</v>
      </c>
      <c r="B165" s="44" t="s">
        <v>110</v>
      </c>
      <c r="C165" s="44" t="s">
        <v>43</v>
      </c>
      <c r="D165" s="44" t="s">
        <v>277</v>
      </c>
      <c r="E165" s="44">
        <v>10214</v>
      </c>
      <c r="F165" s="44"/>
      <c r="G165" s="44"/>
      <c r="H165" s="44">
        <v>1123</v>
      </c>
    </row>
    <row r="166" spans="1:8">
      <c r="A166" s="45">
        <v>2010</v>
      </c>
      <c r="B166" s="45" t="s">
        <v>110</v>
      </c>
      <c r="C166" s="45" t="s">
        <v>43</v>
      </c>
      <c r="D166" s="45" t="s">
        <v>278</v>
      </c>
      <c r="E166" s="45">
        <v>9225</v>
      </c>
      <c r="F166" s="45"/>
      <c r="G166" s="45"/>
      <c r="H166" s="45">
        <v>1014</v>
      </c>
    </row>
    <row r="167" spans="1:8">
      <c r="A167" s="44">
        <v>2010</v>
      </c>
      <c r="B167" s="44" t="s">
        <v>110</v>
      </c>
      <c r="C167" s="44" t="s">
        <v>43</v>
      </c>
      <c r="D167" s="44" t="s">
        <v>279</v>
      </c>
      <c r="E167" s="44">
        <v>7588</v>
      </c>
      <c r="F167" s="44"/>
      <c r="G167" s="44"/>
      <c r="H167" s="44">
        <v>986</v>
      </c>
    </row>
    <row r="168" spans="1:8">
      <c r="A168" s="45">
        <v>2010</v>
      </c>
      <c r="B168" s="45" t="s">
        <v>110</v>
      </c>
      <c r="C168" s="45" t="s">
        <v>43</v>
      </c>
      <c r="D168" s="45" t="s">
        <v>280</v>
      </c>
      <c r="E168" s="45">
        <v>5582</v>
      </c>
      <c r="F168" s="45"/>
      <c r="G168" s="45"/>
      <c r="H168" s="45">
        <v>725</v>
      </c>
    </row>
    <row r="169" spans="1:8">
      <c r="A169" s="44">
        <v>2010</v>
      </c>
      <c r="B169" s="44" t="s">
        <v>110</v>
      </c>
      <c r="C169" s="44" t="s">
        <v>43</v>
      </c>
      <c r="D169" s="44" t="s">
        <v>281</v>
      </c>
      <c r="E169" s="44">
        <v>3576</v>
      </c>
      <c r="F169" s="44"/>
      <c r="G169" s="44"/>
      <c r="H169" s="44">
        <v>464</v>
      </c>
    </row>
    <row r="170" spans="1:8">
      <c r="A170" s="45">
        <v>2010</v>
      </c>
      <c r="B170" s="45" t="s">
        <v>110</v>
      </c>
      <c r="C170" s="45" t="s">
        <v>43</v>
      </c>
      <c r="D170" s="45" t="s">
        <v>282</v>
      </c>
      <c r="E170" s="45">
        <v>1699</v>
      </c>
      <c r="F170" s="45"/>
      <c r="G170" s="45"/>
      <c r="H170" s="45">
        <v>220</v>
      </c>
    </row>
    <row r="171" spans="1:8">
      <c r="A171" s="44">
        <v>2010</v>
      </c>
      <c r="B171" s="44" t="s">
        <v>110</v>
      </c>
      <c r="C171" s="44" t="s">
        <v>43</v>
      </c>
      <c r="D171" s="44" t="s">
        <v>283</v>
      </c>
      <c r="E171" s="44">
        <v>1018</v>
      </c>
      <c r="F171" s="44"/>
      <c r="G171" s="44"/>
      <c r="H171" s="44">
        <v>132</v>
      </c>
    </row>
    <row r="172" spans="1:8">
      <c r="A172" s="45">
        <v>2010</v>
      </c>
      <c r="B172" s="45" t="s">
        <v>110</v>
      </c>
      <c r="C172" s="45" t="s">
        <v>43</v>
      </c>
      <c r="D172" s="45" t="s">
        <v>284</v>
      </c>
      <c r="E172" s="45">
        <v>914</v>
      </c>
      <c r="F172" s="45"/>
      <c r="G172" s="45"/>
      <c r="H172" s="45">
        <v>118</v>
      </c>
    </row>
    <row r="173" spans="1:8">
      <c r="A173" s="45">
        <v>2010</v>
      </c>
      <c r="B173" s="45" t="s">
        <v>111</v>
      </c>
      <c r="C173" s="45" t="s">
        <v>43</v>
      </c>
      <c r="D173" s="45" t="s">
        <v>267</v>
      </c>
      <c r="E173" s="45">
        <v>97300</v>
      </c>
      <c r="F173" s="45"/>
      <c r="G173" s="45"/>
      <c r="H173" s="45">
        <v>12649</v>
      </c>
    </row>
    <row r="174" spans="1:8">
      <c r="A174" s="44">
        <v>2010</v>
      </c>
      <c r="B174" s="44" t="s">
        <v>111</v>
      </c>
      <c r="C174" s="44" t="s">
        <v>43</v>
      </c>
      <c r="D174" s="44" t="s">
        <v>268</v>
      </c>
      <c r="E174" s="44">
        <v>68899</v>
      </c>
      <c r="F174" s="44"/>
      <c r="G174" s="44"/>
      <c r="H174" s="44">
        <v>7578</v>
      </c>
    </row>
    <row r="175" spans="1:8">
      <c r="A175" s="45">
        <v>2010</v>
      </c>
      <c r="B175" s="45" t="s">
        <v>111</v>
      </c>
      <c r="C175" s="45" t="s">
        <v>43</v>
      </c>
      <c r="D175" s="45" t="s">
        <v>269</v>
      </c>
      <c r="E175" s="45">
        <v>54140</v>
      </c>
      <c r="F175" s="45"/>
      <c r="G175" s="45"/>
      <c r="H175" s="45">
        <v>5955</v>
      </c>
    </row>
    <row r="176" spans="1:8">
      <c r="A176" s="44">
        <v>2010</v>
      </c>
      <c r="B176" s="44" t="s">
        <v>111</v>
      </c>
      <c r="C176" s="44" t="s">
        <v>43</v>
      </c>
      <c r="D176" s="44" t="s">
        <v>254</v>
      </c>
      <c r="E176" s="44">
        <v>50424</v>
      </c>
      <c r="F176" s="44"/>
      <c r="G176" s="44"/>
      <c r="H176" s="44">
        <v>5546</v>
      </c>
    </row>
    <row r="177" spans="1:8">
      <c r="A177" s="45">
        <v>2010</v>
      </c>
      <c r="B177" s="45" t="s">
        <v>111</v>
      </c>
      <c r="C177" s="45" t="s">
        <v>43</v>
      </c>
      <c r="D177" s="45" t="s">
        <v>270</v>
      </c>
      <c r="E177" s="45">
        <v>41423</v>
      </c>
      <c r="F177" s="45"/>
      <c r="G177" s="45"/>
      <c r="H177" s="45">
        <v>4556</v>
      </c>
    </row>
    <row r="178" spans="1:8">
      <c r="A178" s="44">
        <v>2010</v>
      </c>
      <c r="B178" s="44" t="s">
        <v>111</v>
      </c>
      <c r="C178" s="44" t="s">
        <v>43</v>
      </c>
      <c r="D178" s="44" t="s">
        <v>271</v>
      </c>
      <c r="E178" s="44">
        <v>36732</v>
      </c>
      <c r="F178" s="44"/>
      <c r="G178" s="44"/>
      <c r="H178" s="44">
        <v>4040</v>
      </c>
    </row>
    <row r="179" spans="1:8">
      <c r="A179" s="45">
        <v>2010</v>
      </c>
      <c r="B179" s="45" t="s">
        <v>111</v>
      </c>
      <c r="C179" s="45" t="s">
        <v>43</v>
      </c>
      <c r="D179" s="45" t="s">
        <v>272</v>
      </c>
      <c r="E179" s="45">
        <v>25326</v>
      </c>
      <c r="F179" s="45"/>
      <c r="G179" s="45"/>
      <c r="H179" s="45">
        <v>2785</v>
      </c>
    </row>
    <row r="180" spans="1:8">
      <c r="A180" s="44">
        <v>2010</v>
      </c>
      <c r="B180" s="44" t="s">
        <v>111</v>
      </c>
      <c r="C180" s="44" t="s">
        <v>43</v>
      </c>
      <c r="D180" s="44" t="s">
        <v>273</v>
      </c>
      <c r="E180" s="44">
        <v>21068</v>
      </c>
      <c r="F180" s="44"/>
      <c r="G180" s="44"/>
      <c r="H180" s="44">
        <v>2317</v>
      </c>
    </row>
    <row r="181" spans="1:8">
      <c r="A181" s="45">
        <v>2010</v>
      </c>
      <c r="B181" s="45" t="s">
        <v>111</v>
      </c>
      <c r="C181" s="45" t="s">
        <v>43</v>
      </c>
      <c r="D181" s="45" t="s">
        <v>274</v>
      </c>
      <c r="E181" s="45">
        <v>14617</v>
      </c>
      <c r="F181" s="45"/>
      <c r="G181" s="45"/>
      <c r="H181" s="45">
        <v>1607</v>
      </c>
    </row>
    <row r="182" spans="1:8">
      <c r="A182" s="44">
        <v>2010</v>
      </c>
      <c r="B182" s="44" t="s">
        <v>111</v>
      </c>
      <c r="C182" s="44" t="s">
        <v>43</v>
      </c>
      <c r="D182" s="44" t="s">
        <v>275</v>
      </c>
      <c r="E182" s="44">
        <v>14383</v>
      </c>
      <c r="F182" s="44"/>
      <c r="G182" s="44"/>
      <c r="H182" s="44">
        <v>1582</v>
      </c>
    </row>
    <row r="183" spans="1:8">
      <c r="A183" s="45">
        <v>2010</v>
      </c>
      <c r="B183" s="45" t="s">
        <v>111</v>
      </c>
      <c r="C183" s="45" t="s">
        <v>43</v>
      </c>
      <c r="D183" s="45" t="s">
        <v>276</v>
      </c>
      <c r="E183" s="45">
        <v>10613</v>
      </c>
      <c r="F183" s="45"/>
      <c r="G183" s="45"/>
      <c r="H183" s="45">
        <v>1167</v>
      </c>
    </row>
    <row r="184" spans="1:8">
      <c r="A184" s="44">
        <v>2010</v>
      </c>
      <c r="B184" s="44" t="s">
        <v>111</v>
      </c>
      <c r="C184" s="44" t="s">
        <v>43</v>
      </c>
      <c r="D184" s="44" t="s">
        <v>277</v>
      </c>
      <c r="E184" s="44">
        <v>8926</v>
      </c>
      <c r="F184" s="44"/>
      <c r="G184" s="44"/>
      <c r="H184" s="44">
        <v>981</v>
      </c>
    </row>
    <row r="185" spans="1:8">
      <c r="A185" s="45">
        <v>2010</v>
      </c>
      <c r="B185" s="45" t="s">
        <v>111</v>
      </c>
      <c r="C185" s="45" t="s">
        <v>43</v>
      </c>
      <c r="D185" s="45" t="s">
        <v>278</v>
      </c>
      <c r="E185" s="45">
        <v>7930</v>
      </c>
      <c r="F185" s="45"/>
      <c r="G185" s="45"/>
      <c r="H185" s="45">
        <v>872</v>
      </c>
    </row>
    <row r="186" spans="1:8">
      <c r="A186" s="44">
        <v>2010</v>
      </c>
      <c r="B186" s="44" t="s">
        <v>111</v>
      </c>
      <c r="C186" s="44" t="s">
        <v>43</v>
      </c>
      <c r="D186" s="44" t="s">
        <v>279</v>
      </c>
      <c r="E186" s="44">
        <v>6346</v>
      </c>
      <c r="F186" s="44"/>
      <c r="G186" s="44"/>
      <c r="H186" s="44">
        <v>824</v>
      </c>
    </row>
    <row r="187" spans="1:8">
      <c r="A187" s="45">
        <v>2010</v>
      </c>
      <c r="B187" s="45" t="s">
        <v>111</v>
      </c>
      <c r="C187" s="45" t="s">
        <v>43</v>
      </c>
      <c r="D187" s="45" t="s">
        <v>280</v>
      </c>
      <c r="E187" s="45">
        <v>4325</v>
      </c>
      <c r="F187" s="45"/>
      <c r="G187" s="45"/>
      <c r="H187" s="45">
        <v>562</v>
      </c>
    </row>
    <row r="188" spans="1:8">
      <c r="A188" s="44">
        <v>2010</v>
      </c>
      <c r="B188" s="44" t="s">
        <v>111</v>
      </c>
      <c r="C188" s="44" t="s">
        <v>43</v>
      </c>
      <c r="D188" s="44" t="s">
        <v>281</v>
      </c>
      <c r="E188" s="44">
        <v>3203</v>
      </c>
      <c r="F188" s="44"/>
      <c r="G188" s="44"/>
      <c r="H188" s="44">
        <v>416</v>
      </c>
    </row>
    <row r="189" spans="1:8">
      <c r="A189" s="45">
        <v>2010</v>
      </c>
      <c r="B189" s="45" t="s">
        <v>111</v>
      </c>
      <c r="C189" s="45" t="s">
        <v>43</v>
      </c>
      <c r="D189" s="45" t="s">
        <v>282</v>
      </c>
      <c r="E189" s="45">
        <v>1606</v>
      </c>
      <c r="F189" s="45"/>
      <c r="G189" s="45"/>
      <c r="H189" s="45">
        <v>208</v>
      </c>
    </row>
    <row r="190" spans="1:8">
      <c r="A190" s="44">
        <v>2010</v>
      </c>
      <c r="B190" s="44" t="s">
        <v>111</v>
      </c>
      <c r="C190" s="44" t="s">
        <v>43</v>
      </c>
      <c r="D190" s="44" t="s">
        <v>283</v>
      </c>
      <c r="E190" s="44">
        <v>1064</v>
      </c>
      <c r="F190" s="44"/>
      <c r="G190" s="44"/>
      <c r="H190" s="44">
        <v>138</v>
      </c>
    </row>
    <row r="191" spans="1:8">
      <c r="A191" s="45">
        <v>2010</v>
      </c>
      <c r="B191" s="45" t="s">
        <v>111</v>
      </c>
      <c r="C191" s="45" t="s">
        <v>43</v>
      </c>
      <c r="D191" s="45" t="s">
        <v>284</v>
      </c>
      <c r="E191" s="45">
        <v>1144</v>
      </c>
      <c r="F191" s="45"/>
      <c r="G191" s="45"/>
      <c r="H191" s="45">
        <v>148</v>
      </c>
    </row>
    <row r="192" spans="1:8">
      <c r="A192" s="45">
        <v>2010</v>
      </c>
      <c r="B192" s="45" t="s">
        <v>102</v>
      </c>
      <c r="C192" s="45" t="s">
        <v>44</v>
      </c>
      <c r="D192" s="45" t="s">
        <v>267</v>
      </c>
      <c r="E192" s="45">
        <v>135347</v>
      </c>
      <c r="F192" s="45"/>
      <c r="G192" s="45"/>
      <c r="H192" s="45">
        <v>17595</v>
      </c>
    </row>
    <row r="193" spans="1:8">
      <c r="A193" s="44">
        <v>2010</v>
      </c>
      <c r="B193" s="44" t="s">
        <v>102</v>
      </c>
      <c r="C193" s="44" t="s">
        <v>44</v>
      </c>
      <c r="D193" s="44" t="s">
        <v>268</v>
      </c>
      <c r="E193" s="44">
        <v>100521</v>
      </c>
      <c r="F193" s="44"/>
      <c r="G193" s="44"/>
      <c r="H193" s="44">
        <v>11057</v>
      </c>
    </row>
    <row r="194" spans="1:8">
      <c r="A194" s="45">
        <v>2010</v>
      </c>
      <c r="B194" s="45" t="s">
        <v>102</v>
      </c>
      <c r="C194" s="45" t="s">
        <v>44</v>
      </c>
      <c r="D194" s="45" t="s">
        <v>269</v>
      </c>
      <c r="E194" s="45">
        <v>84671</v>
      </c>
      <c r="F194" s="45"/>
      <c r="G194" s="45"/>
      <c r="H194" s="45">
        <v>9313</v>
      </c>
    </row>
    <row r="195" spans="1:8">
      <c r="A195" s="44">
        <v>2010</v>
      </c>
      <c r="B195" s="44" t="s">
        <v>102</v>
      </c>
      <c r="C195" s="44" t="s">
        <v>44</v>
      </c>
      <c r="D195" s="44" t="s">
        <v>254</v>
      </c>
      <c r="E195" s="44">
        <v>74959</v>
      </c>
      <c r="F195" s="44"/>
      <c r="G195" s="44"/>
      <c r="H195" s="44">
        <v>8245</v>
      </c>
    </row>
    <row r="196" spans="1:8">
      <c r="A196" s="45">
        <v>2010</v>
      </c>
      <c r="B196" s="45" t="s">
        <v>102</v>
      </c>
      <c r="C196" s="45" t="s">
        <v>44</v>
      </c>
      <c r="D196" s="45" t="s">
        <v>270</v>
      </c>
      <c r="E196" s="45">
        <v>52130</v>
      </c>
      <c r="F196" s="45"/>
      <c r="G196" s="45"/>
      <c r="H196" s="45">
        <v>5734</v>
      </c>
    </row>
    <row r="197" spans="1:8">
      <c r="A197" s="44">
        <v>2010</v>
      </c>
      <c r="B197" s="44" t="s">
        <v>102</v>
      </c>
      <c r="C197" s="44" t="s">
        <v>44</v>
      </c>
      <c r="D197" s="44" t="s">
        <v>271</v>
      </c>
      <c r="E197" s="44">
        <v>45719</v>
      </c>
      <c r="F197" s="44"/>
      <c r="G197" s="44"/>
      <c r="H197" s="44">
        <v>5029</v>
      </c>
    </row>
    <row r="198" spans="1:8">
      <c r="A198" s="45">
        <v>2010</v>
      </c>
      <c r="B198" s="45" t="s">
        <v>102</v>
      </c>
      <c r="C198" s="45" t="s">
        <v>44</v>
      </c>
      <c r="D198" s="45" t="s">
        <v>272</v>
      </c>
      <c r="E198" s="45">
        <v>37139</v>
      </c>
      <c r="F198" s="45"/>
      <c r="G198" s="45"/>
      <c r="H198" s="45">
        <v>4085</v>
      </c>
    </row>
    <row r="199" spans="1:8">
      <c r="A199" s="44">
        <v>2010</v>
      </c>
      <c r="B199" s="44" t="s">
        <v>102</v>
      </c>
      <c r="C199" s="44" t="s">
        <v>44</v>
      </c>
      <c r="D199" s="44" t="s">
        <v>273</v>
      </c>
      <c r="E199" s="44">
        <v>32486</v>
      </c>
      <c r="F199" s="44"/>
      <c r="G199" s="44"/>
      <c r="H199" s="44">
        <v>3573</v>
      </c>
    </row>
    <row r="200" spans="1:8">
      <c r="A200" s="45">
        <v>2010</v>
      </c>
      <c r="B200" s="45" t="s">
        <v>102</v>
      </c>
      <c r="C200" s="45" t="s">
        <v>44</v>
      </c>
      <c r="D200" s="45" t="s">
        <v>274</v>
      </c>
      <c r="E200" s="45">
        <v>21402</v>
      </c>
      <c r="F200" s="45"/>
      <c r="G200" s="45"/>
      <c r="H200" s="45">
        <v>2354</v>
      </c>
    </row>
    <row r="201" spans="1:8">
      <c r="A201" s="44">
        <v>2010</v>
      </c>
      <c r="B201" s="44" t="s">
        <v>102</v>
      </c>
      <c r="C201" s="44" t="s">
        <v>44</v>
      </c>
      <c r="D201" s="44" t="s">
        <v>275</v>
      </c>
      <c r="E201" s="44">
        <v>17679</v>
      </c>
      <c r="F201" s="44"/>
      <c r="G201" s="44"/>
      <c r="H201" s="44">
        <v>1944</v>
      </c>
    </row>
    <row r="202" spans="1:8">
      <c r="A202" s="45">
        <v>2010</v>
      </c>
      <c r="B202" s="45" t="s">
        <v>102</v>
      </c>
      <c r="C202" s="45" t="s">
        <v>44</v>
      </c>
      <c r="D202" s="45" t="s">
        <v>276</v>
      </c>
      <c r="E202" s="45">
        <v>12458</v>
      </c>
      <c r="F202" s="45"/>
      <c r="G202" s="45"/>
      <c r="H202" s="45">
        <v>1370</v>
      </c>
    </row>
    <row r="203" spans="1:8">
      <c r="A203" s="44">
        <v>2010</v>
      </c>
      <c r="B203" s="44" t="s">
        <v>102</v>
      </c>
      <c r="C203" s="44" t="s">
        <v>44</v>
      </c>
      <c r="D203" s="44" t="s">
        <v>277</v>
      </c>
      <c r="E203" s="44">
        <v>9777</v>
      </c>
      <c r="F203" s="44"/>
      <c r="G203" s="44"/>
      <c r="H203" s="44">
        <v>1075</v>
      </c>
    </row>
    <row r="204" spans="1:8">
      <c r="A204" s="45">
        <v>2010</v>
      </c>
      <c r="B204" s="45" t="s">
        <v>102</v>
      </c>
      <c r="C204" s="45" t="s">
        <v>44</v>
      </c>
      <c r="D204" s="45" t="s">
        <v>278</v>
      </c>
      <c r="E204" s="45">
        <v>7723</v>
      </c>
      <c r="F204" s="45"/>
      <c r="G204" s="45"/>
      <c r="H204" s="45">
        <v>849</v>
      </c>
    </row>
    <row r="205" spans="1:8">
      <c r="A205" s="44">
        <v>2010</v>
      </c>
      <c r="B205" s="44" t="s">
        <v>102</v>
      </c>
      <c r="C205" s="44" t="s">
        <v>44</v>
      </c>
      <c r="D205" s="44" t="s">
        <v>279</v>
      </c>
      <c r="E205" s="44">
        <v>5966</v>
      </c>
      <c r="F205" s="44"/>
      <c r="G205" s="44"/>
      <c r="H205" s="44">
        <v>775</v>
      </c>
    </row>
    <row r="206" spans="1:8">
      <c r="A206" s="45">
        <v>2010</v>
      </c>
      <c r="B206" s="45" t="s">
        <v>102</v>
      </c>
      <c r="C206" s="45" t="s">
        <v>44</v>
      </c>
      <c r="D206" s="45" t="s">
        <v>280</v>
      </c>
      <c r="E206" s="45">
        <v>4317</v>
      </c>
      <c r="F206" s="45"/>
      <c r="G206" s="45"/>
      <c r="H206" s="45">
        <v>561</v>
      </c>
    </row>
    <row r="207" spans="1:8">
      <c r="A207" s="44">
        <v>2010</v>
      </c>
      <c r="B207" s="44" t="s">
        <v>102</v>
      </c>
      <c r="C207" s="44" t="s">
        <v>44</v>
      </c>
      <c r="D207" s="44" t="s">
        <v>281</v>
      </c>
      <c r="E207" s="44">
        <v>1255</v>
      </c>
      <c r="F207" s="44"/>
      <c r="G207" s="44"/>
      <c r="H207" s="44">
        <v>163</v>
      </c>
    </row>
    <row r="208" spans="1:8">
      <c r="A208" s="45">
        <v>2010</v>
      </c>
      <c r="B208" s="45" t="s">
        <v>102</v>
      </c>
      <c r="C208" s="45" t="s">
        <v>44</v>
      </c>
      <c r="D208" s="45" t="s">
        <v>282</v>
      </c>
      <c r="E208" s="45">
        <v>1487</v>
      </c>
      <c r="F208" s="45"/>
      <c r="G208" s="45"/>
      <c r="H208" s="45">
        <v>193</v>
      </c>
    </row>
    <row r="209" spans="1:8">
      <c r="A209" s="44">
        <v>2010</v>
      </c>
      <c r="B209" s="44" t="s">
        <v>102</v>
      </c>
      <c r="C209" s="44" t="s">
        <v>44</v>
      </c>
      <c r="D209" s="44" t="s">
        <v>283</v>
      </c>
      <c r="E209" s="44">
        <v>992</v>
      </c>
      <c r="F209" s="44"/>
      <c r="G209" s="44"/>
      <c r="H209" s="44">
        <v>128</v>
      </c>
    </row>
    <row r="210" spans="1:8">
      <c r="A210" s="45">
        <v>2010</v>
      </c>
      <c r="B210" s="45" t="s">
        <v>102</v>
      </c>
      <c r="C210" s="45" t="s">
        <v>44</v>
      </c>
      <c r="D210" s="45" t="s">
        <v>284</v>
      </c>
      <c r="E210" s="45">
        <v>452</v>
      </c>
      <c r="F210" s="45"/>
      <c r="G210" s="45"/>
      <c r="H210" s="45">
        <v>58</v>
      </c>
    </row>
    <row r="211" spans="1:8">
      <c r="A211" s="45">
        <v>2010</v>
      </c>
      <c r="B211" s="45" t="s">
        <v>103</v>
      </c>
      <c r="C211" s="45" t="s">
        <v>44</v>
      </c>
      <c r="D211" s="45" t="s">
        <v>267</v>
      </c>
      <c r="E211" s="45">
        <v>171266</v>
      </c>
      <c r="F211" s="45"/>
      <c r="G211" s="45"/>
      <c r="H211" s="45">
        <v>22264</v>
      </c>
    </row>
    <row r="212" spans="1:8">
      <c r="A212" s="44">
        <v>2010</v>
      </c>
      <c r="B212" s="44" t="s">
        <v>103</v>
      </c>
      <c r="C212" s="44" t="s">
        <v>44</v>
      </c>
      <c r="D212" s="44" t="s">
        <v>268</v>
      </c>
      <c r="E212" s="44">
        <v>129201</v>
      </c>
      <c r="F212" s="44"/>
      <c r="G212" s="44"/>
      <c r="H212" s="44">
        <v>14212</v>
      </c>
    </row>
    <row r="213" spans="1:8">
      <c r="A213" s="45">
        <v>2010</v>
      </c>
      <c r="B213" s="45" t="s">
        <v>103</v>
      </c>
      <c r="C213" s="45" t="s">
        <v>44</v>
      </c>
      <c r="D213" s="45" t="s">
        <v>269</v>
      </c>
      <c r="E213" s="45">
        <v>123060</v>
      </c>
      <c r="F213" s="45"/>
      <c r="G213" s="45"/>
      <c r="H213" s="45">
        <v>13536</v>
      </c>
    </row>
    <row r="214" spans="1:8">
      <c r="A214" s="44">
        <v>2010</v>
      </c>
      <c r="B214" s="44" t="s">
        <v>103</v>
      </c>
      <c r="C214" s="44" t="s">
        <v>44</v>
      </c>
      <c r="D214" s="44" t="s">
        <v>254</v>
      </c>
      <c r="E214" s="44">
        <v>120238</v>
      </c>
      <c r="F214" s="44"/>
      <c r="G214" s="44"/>
      <c r="H214" s="44">
        <v>13226</v>
      </c>
    </row>
    <row r="215" spans="1:8">
      <c r="A215" s="45">
        <v>2010</v>
      </c>
      <c r="B215" s="45" t="s">
        <v>103</v>
      </c>
      <c r="C215" s="45" t="s">
        <v>44</v>
      </c>
      <c r="D215" s="45" t="s">
        <v>270</v>
      </c>
      <c r="E215" s="45">
        <v>87717</v>
      </c>
      <c r="F215" s="45"/>
      <c r="G215" s="45"/>
      <c r="H215" s="45">
        <v>9648</v>
      </c>
    </row>
    <row r="216" spans="1:8">
      <c r="A216" s="44">
        <v>2010</v>
      </c>
      <c r="B216" s="44" t="s">
        <v>103</v>
      </c>
      <c r="C216" s="44" t="s">
        <v>44</v>
      </c>
      <c r="D216" s="44" t="s">
        <v>271</v>
      </c>
      <c r="E216" s="44">
        <v>84830</v>
      </c>
      <c r="F216" s="44"/>
      <c r="G216" s="44"/>
      <c r="H216" s="44">
        <v>9331</v>
      </c>
    </row>
    <row r="217" spans="1:8">
      <c r="A217" s="45">
        <v>2010</v>
      </c>
      <c r="B217" s="45" t="s">
        <v>103</v>
      </c>
      <c r="C217" s="45" t="s">
        <v>44</v>
      </c>
      <c r="D217" s="45" t="s">
        <v>272</v>
      </c>
      <c r="E217" s="45">
        <v>67300</v>
      </c>
      <c r="F217" s="45"/>
      <c r="G217" s="45"/>
      <c r="H217" s="45">
        <v>7403</v>
      </c>
    </row>
    <row r="218" spans="1:8">
      <c r="A218" s="44">
        <v>2010</v>
      </c>
      <c r="B218" s="44" t="s">
        <v>103</v>
      </c>
      <c r="C218" s="44" t="s">
        <v>44</v>
      </c>
      <c r="D218" s="44" t="s">
        <v>273</v>
      </c>
      <c r="E218" s="44">
        <v>55754</v>
      </c>
      <c r="F218" s="44"/>
      <c r="G218" s="44"/>
      <c r="H218" s="44">
        <v>6132</v>
      </c>
    </row>
    <row r="219" spans="1:8">
      <c r="A219" s="45">
        <v>2010</v>
      </c>
      <c r="B219" s="45" t="s">
        <v>103</v>
      </c>
      <c r="C219" s="45" t="s">
        <v>44</v>
      </c>
      <c r="D219" s="45" t="s">
        <v>274</v>
      </c>
      <c r="E219" s="45">
        <v>36998</v>
      </c>
      <c r="F219" s="45"/>
      <c r="G219" s="45"/>
      <c r="H219" s="45">
        <v>4069</v>
      </c>
    </row>
    <row r="220" spans="1:8">
      <c r="A220" s="44">
        <v>2010</v>
      </c>
      <c r="B220" s="44" t="s">
        <v>103</v>
      </c>
      <c r="C220" s="44" t="s">
        <v>44</v>
      </c>
      <c r="D220" s="44" t="s">
        <v>275</v>
      </c>
      <c r="E220" s="44">
        <v>30779</v>
      </c>
      <c r="F220" s="44"/>
      <c r="G220" s="44"/>
      <c r="H220" s="44">
        <v>3385</v>
      </c>
    </row>
    <row r="221" spans="1:8">
      <c r="A221" s="45">
        <v>2010</v>
      </c>
      <c r="B221" s="45" t="s">
        <v>103</v>
      </c>
      <c r="C221" s="45" t="s">
        <v>44</v>
      </c>
      <c r="D221" s="45" t="s">
        <v>276</v>
      </c>
      <c r="E221" s="45">
        <v>22343</v>
      </c>
      <c r="F221" s="45"/>
      <c r="G221" s="45"/>
      <c r="H221" s="45">
        <v>2457</v>
      </c>
    </row>
    <row r="222" spans="1:8">
      <c r="A222" s="44">
        <v>2010</v>
      </c>
      <c r="B222" s="44" t="s">
        <v>103</v>
      </c>
      <c r="C222" s="44" t="s">
        <v>44</v>
      </c>
      <c r="D222" s="44" t="s">
        <v>277</v>
      </c>
      <c r="E222" s="44">
        <v>18234</v>
      </c>
      <c r="F222" s="44"/>
      <c r="G222" s="44"/>
      <c r="H222" s="44">
        <v>2005</v>
      </c>
    </row>
    <row r="223" spans="1:8">
      <c r="A223" s="45">
        <v>2010</v>
      </c>
      <c r="B223" s="45" t="s">
        <v>103</v>
      </c>
      <c r="C223" s="45" t="s">
        <v>44</v>
      </c>
      <c r="D223" s="45" t="s">
        <v>278</v>
      </c>
      <c r="E223" s="45">
        <v>13272</v>
      </c>
      <c r="F223" s="45"/>
      <c r="G223" s="45"/>
      <c r="H223" s="45">
        <v>1459</v>
      </c>
    </row>
    <row r="224" spans="1:8">
      <c r="A224" s="44">
        <v>2010</v>
      </c>
      <c r="B224" s="44" t="s">
        <v>103</v>
      </c>
      <c r="C224" s="44" t="s">
        <v>44</v>
      </c>
      <c r="D224" s="44" t="s">
        <v>279</v>
      </c>
      <c r="E224" s="44">
        <v>8495</v>
      </c>
      <c r="F224" s="44"/>
      <c r="G224" s="44"/>
      <c r="H224" s="44">
        <v>1104</v>
      </c>
    </row>
    <row r="225" spans="1:8">
      <c r="A225" s="45">
        <v>2010</v>
      </c>
      <c r="B225" s="45" t="s">
        <v>103</v>
      </c>
      <c r="C225" s="45" t="s">
        <v>44</v>
      </c>
      <c r="D225" s="45" t="s">
        <v>280</v>
      </c>
      <c r="E225" s="45">
        <v>5781</v>
      </c>
      <c r="F225" s="45"/>
      <c r="G225" s="45"/>
      <c r="H225" s="45">
        <v>751</v>
      </c>
    </row>
    <row r="226" spans="1:8">
      <c r="A226" s="44">
        <v>2010</v>
      </c>
      <c r="B226" s="44" t="s">
        <v>103</v>
      </c>
      <c r="C226" s="44" t="s">
        <v>44</v>
      </c>
      <c r="D226" s="44" t="s">
        <v>281</v>
      </c>
      <c r="E226" s="44">
        <v>1547</v>
      </c>
      <c r="F226" s="44"/>
      <c r="G226" s="44"/>
      <c r="H226" s="44">
        <v>201</v>
      </c>
    </row>
    <row r="227" spans="1:8">
      <c r="A227" s="45">
        <v>2010</v>
      </c>
      <c r="B227" s="45" t="s">
        <v>103</v>
      </c>
      <c r="C227" s="45" t="s">
        <v>44</v>
      </c>
      <c r="D227" s="45" t="s">
        <v>282</v>
      </c>
      <c r="E227" s="45">
        <v>1579</v>
      </c>
      <c r="F227" s="45"/>
      <c r="G227" s="45"/>
      <c r="H227" s="45">
        <v>205</v>
      </c>
    </row>
    <row r="228" spans="1:8">
      <c r="A228" s="44">
        <v>2010</v>
      </c>
      <c r="B228" s="44" t="s">
        <v>103</v>
      </c>
      <c r="C228" s="44" t="s">
        <v>44</v>
      </c>
      <c r="D228" s="44" t="s">
        <v>283</v>
      </c>
      <c r="E228" s="44">
        <v>913</v>
      </c>
      <c r="F228" s="44"/>
      <c r="G228" s="44"/>
      <c r="H228" s="44">
        <v>118</v>
      </c>
    </row>
    <row r="229" spans="1:8">
      <c r="A229" s="45">
        <v>2010</v>
      </c>
      <c r="B229" s="45" t="s">
        <v>103</v>
      </c>
      <c r="C229" s="45" t="s">
        <v>44</v>
      </c>
      <c r="D229" s="45" t="s">
        <v>284</v>
      </c>
      <c r="E229" s="45">
        <v>408</v>
      </c>
      <c r="F229" s="45"/>
      <c r="G229" s="45"/>
      <c r="H229" s="45">
        <v>53</v>
      </c>
    </row>
    <row r="230" spans="1:8">
      <c r="A230" s="45">
        <v>2010</v>
      </c>
      <c r="B230" s="45" t="s">
        <v>104</v>
      </c>
      <c r="C230" s="45" t="s">
        <v>44</v>
      </c>
      <c r="D230" s="45" t="s">
        <v>267</v>
      </c>
      <c r="E230" s="45">
        <v>168680</v>
      </c>
      <c r="F230" s="45"/>
      <c r="G230" s="45"/>
      <c r="H230" s="45">
        <v>21928</v>
      </c>
    </row>
    <row r="231" spans="1:8">
      <c r="A231" s="44">
        <v>2010</v>
      </c>
      <c r="B231" s="44" t="s">
        <v>104</v>
      </c>
      <c r="C231" s="44" t="s">
        <v>44</v>
      </c>
      <c r="D231" s="44" t="s">
        <v>268</v>
      </c>
      <c r="E231" s="44">
        <v>126969</v>
      </c>
      <c r="F231" s="44"/>
      <c r="G231" s="44"/>
      <c r="H231" s="44">
        <v>13966</v>
      </c>
    </row>
    <row r="232" spans="1:8">
      <c r="A232" s="45">
        <v>2010</v>
      </c>
      <c r="B232" s="45" t="s">
        <v>104</v>
      </c>
      <c r="C232" s="45" t="s">
        <v>44</v>
      </c>
      <c r="D232" s="45" t="s">
        <v>269</v>
      </c>
      <c r="E232" s="45">
        <v>102007</v>
      </c>
      <c r="F232" s="45"/>
      <c r="G232" s="45"/>
      <c r="H232" s="45">
        <v>11220</v>
      </c>
    </row>
    <row r="233" spans="1:8">
      <c r="A233" s="44">
        <v>2010</v>
      </c>
      <c r="B233" s="44" t="s">
        <v>104</v>
      </c>
      <c r="C233" s="44" t="s">
        <v>44</v>
      </c>
      <c r="D233" s="44" t="s">
        <v>254</v>
      </c>
      <c r="E233" s="44">
        <v>85898</v>
      </c>
      <c r="F233" s="44"/>
      <c r="G233" s="44"/>
      <c r="H233" s="44">
        <v>9448</v>
      </c>
    </row>
    <row r="234" spans="1:8">
      <c r="A234" s="45">
        <v>2010</v>
      </c>
      <c r="B234" s="45" t="s">
        <v>104</v>
      </c>
      <c r="C234" s="45" t="s">
        <v>44</v>
      </c>
      <c r="D234" s="45" t="s">
        <v>270</v>
      </c>
      <c r="E234" s="45">
        <v>61390</v>
      </c>
      <c r="F234" s="45"/>
      <c r="G234" s="45"/>
      <c r="H234" s="45">
        <v>6752</v>
      </c>
    </row>
    <row r="235" spans="1:8">
      <c r="A235" s="44">
        <v>2010</v>
      </c>
      <c r="B235" s="44" t="s">
        <v>104</v>
      </c>
      <c r="C235" s="44" t="s">
        <v>44</v>
      </c>
      <c r="D235" s="44" t="s">
        <v>271</v>
      </c>
      <c r="E235" s="44">
        <v>56618</v>
      </c>
      <c r="F235" s="44"/>
      <c r="G235" s="44"/>
      <c r="H235" s="44">
        <v>6227</v>
      </c>
    </row>
    <row r="236" spans="1:8">
      <c r="A236" s="45">
        <v>2010</v>
      </c>
      <c r="B236" s="45" t="s">
        <v>104</v>
      </c>
      <c r="C236" s="45" t="s">
        <v>44</v>
      </c>
      <c r="D236" s="45" t="s">
        <v>272</v>
      </c>
      <c r="E236" s="45">
        <v>43111</v>
      </c>
      <c r="F236" s="45"/>
      <c r="G236" s="45"/>
      <c r="H236" s="45">
        <v>4742</v>
      </c>
    </row>
    <row r="237" spans="1:8">
      <c r="A237" s="44">
        <v>2010</v>
      </c>
      <c r="B237" s="44" t="s">
        <v>104</v>
      </c>
      <c r="C237" s="44" t="s">
        <v>44</v>
      </c>
      <c r="D237" s="44" t="s">
        <v>273</v>
      </c>
      <c r="E237" s="44">
        <v>38770</v>
      </c>
      <c r="F237" s="44"/>
      <c r="G237" s="44"/>
      <c r="H237" s="44">
        <v>4264</v>
      </c>
    </row>
    <row r="238" spans="1:8">
      <c r="A238" s="45">
        <v>2010</v>
      </c>
      <c r="B238" s="45" t="s">
        <v>104</v>
      </c>
      <c r="C238" s="45" t="s">
        <v>44</v>
      </c>
      <c r="D238" s="45" t="s">
        <v>274</v>
      </c>
      <c r="E238" s="45">
        <v>24438</v>
      </c>
      <c r="F238" s="45"/>
      <c r="G238" s="45"/>
      <c r="H238" s="45">
        <v>2688</v>
      </c>
    </row>
    <row r="239" spans="1:8">
      <c r="A239" s="44">
        <v>2010</v>
      </c>
      <c r="B239" s="44" t="s">
        <v>104</v>
      </c>
      <c r="C239" s="44" t="s">
        <v>44</v>
      </c>
      <c r="D239" s="44" t="s">
        <v>275</v>
      </c>
      <c r="E239" s="44">
        <v>22084</v>
      </c>
      <c r="F239" s="44"/>
      <c r="G239" s="44"/>
      <c r="H239" s="44">
        <v>2429</v>
      </c>
    </row>
    <row r="240" spans="1:8">
      <c r="A240" s="45">
        <v>2010</v>
      </c>
      <c r="B240" s="45" t="s">
        <v>104</v>
      </c>
      <c r="C240" s="45" t="s">
        <v>44</v>
      </c>
      <c r="D240" s="45" t="s">
        <v>276</v>
      </c>
      <c r="E240" s="45">
        <v>13711</v>
      </c>
      <c r="F240" s="45"/>
      <c r="G240" s="45"/>
      <c r="H240" s="45">
        <v>1508</v>
      </c>
    </row>
    <row r="241" spans="1:8">
      <c r="A241" s="44">
        <v>2010</v>
      </c>
      <c r="B241" s="44" t="s">
        <v>104</v>
      </c>
      <c r="C241" s="44" t="s">
        <v>44</v>
      </c>
      <c r="D241" s="44" t="s">
        <v>277</v>
      </c>
      <c r="E241" s="44">
        <v>11788</v>
      </c>
      <c r="F241" s="44"/>
      <c r="G241" s="44"/>
      <c r="H241" s="44">
        <v>1296</v>
      </c>
    </row>
    <row r="242" spans="1:8">
      <c r="A242" s="45">
        <v>2010</v>
      </c>
      <c r="B242" s="45" t="s">
        <v>104</v>
      </c>
      <c r="C242" s="45" t="s">
        <v>44</v>
      </c>
      <c r="D242" s="45" t="s">
        <v>278</v>
      </c>
      <c r="E242" s="45">
        <v>8526</v>
      </c>
      <c r="F242" s="45"/>
      <c r="G242" s="45"/>
      <c r="H242" s="45">
        <v>937</v>
      </c>
    </row>
    <row r="243" spans="1:8">
      <c r="A243" s="44">
        <v>2010</v>
      </c>
      <c r="B243" s="44" t="s">
        <v>104</v>
      </c>
      <c r="C243" s="44" t="s">
        <v>44</v>
      </c>
      <c r="D243" s="44" t="s">
        <v>279</v>
      </c>
      <c r="E243" s="44">
        <v>7448</v>
      </c>
      <c r="F243" s="44"/>
      <c r="G243" s="44"/>
      <c r="H243" s="44">
        <v>968</v>
      </c>
    </row>
    <row r="244" spans="1:8">
      <c r="A244" s="45">
        <v>2010</v>
      </c>
      <c r="B244" s="45" t="s">
        <v>104</v>
      </c>
      <c r="C244" s="45" t="s">
        <v>44</v>
      </c>
      <c r="D244" s="45" t="s">
        <v>280</v>
      </c>
      <c r="E244" s="45">
        <v>5115</v>
      </c>
      <c r="F244" s="45"/>
      <c r="G244" s="45"/>
      <c r="H244" s="45">
        <v>664</v>
      </c>
    </row>
    <row r="245" spans="1:8">
      <c r="A245" s="44">
        <v>2010</v>
      </c>
      <c r="B245" s="44" t="s">
        <v>104</v>
      </c>
      <c r="C245" s="44" t="s">
        <v>44</v>
      </c>
      <c r="D245" s="44" t="s">
        <v>281</v>
      </c>
      <c r="E245" s="44">
        <v>1656</v>
      </c>
      <c r="F245" s="44"/>
      <c r="G245" s="44"/>
      <c r="H245" s="44">
        <v>215</v>
      </c>
    </row>
    <row r="246" spans="1:8">
      <c r="A246" s="45">
        <v>2010</v>
      </c>
      <c r="B246" s="45" t="s">
        <v>104</v>
      </c>
      <c r="C246" s="45" t="s">
        <v>44</v>
      </c>
      <c r="D246" s="45" t="s">
        <v>282</v>
      </c>
      <c r="E246" s="45">
        <v>1897</v>
      </c>
      <c r="F246" s="45"/>
      <c r="G246" s="45"/>
      <c r="H246" s="45">
        <v>246</v>
      </c>
    </row>
    <row r="247" spans="1:8">
      <c r="A247" s="44">
        <v>2010</v>
      </c>
      <c r="B247" s="44" t="s">
        <v>104</v>
      </c>
      <c r="C247" s="44" t="s">
        <v>44</v>
      </c>
      <c r="D247" s="44" t="s">
        <v>283</v>
      </c>
      <c r="E247" s="44">
        <v>1315</v>
      </c>
      <c r="F247" s="44"/>
      <c r="G247" s="44"/>
      <c r="H247" s="44">
        <v>170</v>
      </c>
    </row>
    <row r="248" spans="1:8">
      <c r="A248" s="45">
        <v>2010</v>
      </c>
      <c r="B248" s="45" t="s">
        <v>104</v>
      </c>
      <c r="C248" s="45" t="s">
        <v>44</v>
      </c>
      <c r="D248" s="45" t="s">
        <v>284</v>
      </c>
      <c r="E248" s="45">
        <v>742</v>
      </c>
      <c r="F248" s="45"/>
      <c r="G248" s="45"/>
      <c r="H248" s="45">
        <v>96</v>
      </c>
    </row>
    <row r="249" spans="1:8">
      <c r="A249" s="45">
        <v>2010</v>
      </c>
      <c r="B249" s="45" t="s">
        <v>105</v>
      </c>
      <c r="C249" s="45" t="s">
        <v>44</v>
      </c>
      <c r="D249" s="45" t="s">
        <v>267</v>
      </c>
      <c r="E249" s="45">
        <v>107934</v>
      </c>
      <c r="F249" s="45"/>
      <c r="G249" s="45"/>
      <c r="H249" s="45">
        <v>14031</v>
      </c>
    </row>
    <row r="250" spans="1:8">
      <c r="A250" s="44">
        <v>2010</v>
      </c>
      <c r="B250" s="44" t="s">
        <v>105</v>
      </c>
      <c r="C250" s="44" t="s">
        <v>44</v>
      </c>
      <c r="D250" s="44" t="s">
        <v>268</v>
      </c>
      <c r="E250" s="44">
        <v>80900</v>
      </c>
      <c r="F250" s="44"/>
      <c r="G250" s="44"/>
      <c r="H250" s="44">
        <v>8899</v>
      </c>
    </row>
    <row r="251" spans="1:8">
      <c r="A251" s="45">
        <v>2010</v>
      </c>
      <c r="B251" s="45" t="s">
        <v>105</v>
      </c>
      <c r="C251" s="45" t="s">
        <v>44</v>
      </c>
      <c r="D251" s="45" t="s">
        <v>269</v>
      </c>
      <c r="E251" s="45">
        <v>61021</v>
      </c>
      <c r="F251" s="45"/>
      <c r="G251" s="45"/>
      <c r="H251" s="45">
        <v>6712</v>
      </c>
    </row>
    <row r="252" spans="1:8">
      <c r="A252" s="44">
        <v>2010</v>
      </c>
      <c r="B252" s="44" t="s">
        <v>105</v>
      </c>
      <c r="C252" s="44" t="s">
        <v>44</v>
      </c>
      <c r="D252" s="44" t="s">
        <v>254</v>
      </c>
      <c r="E252" s="44">
        <v>51765</v>
      </c>
      <c r="F252" s="44"/>
      <c r="G252" s="44"/>
      <c r="H252" s="44">
        <v>5694</v>
      </c>
    </row>
    <row r="253" spans="1:8">
      <c r="A253" s="45">
        <v>2010</v>
      </c>
      <c r="B253" s="45" t="s">
        <v>105</v>
      </c>
      <c r="C253" s="45" t="s">
        <v>44</v>
      </c>
      <c r="D253" s="45" t="s">
        <v>270</v>
      </c>
      <c r="E253" s="45">
        <v>33703</v>
      </c>
      <c r="F253" s="45"/>
      <c r="G253" s="45"/>
      <c r="H253" s="45">
        <v>3707</v>
      </c>
    </row>
    <row r="254" spans="1:8">
      <c r="A254" s="44">
        <v>2010</v>
      </c>
      <c r="B254" s="44" t="s">
        <v>105</v>
      </c>
      <c r="C254" s="44" t="s">
        <v>44</v>
      </c>
      <c r="D254" s="44" t="s">
        <v>271</v>
      </c>
      <c r="E254" s="44">
        <v>34352</v>
      </c>
      <c r="F254" s="44"/>
      <c r="G254" s="44"/>
      <c r="H254" s="44">
        <v>3778</v>
      </c>
    </row>
    <row r="255" spans="1:8">
      <c r="A255" s="45">
        <v>2010</v>
      </c>
      <c r="B255" s="45" t="s">
        <v>105</v>
      </c>
      <c r="C255" s="45" t="s">
        <v>44</v>
      </c>
      <c r="D255" s="45" t="s">
        <v>272</v>
      </c>
      <c r="E255" s="45">
        <v>26733</v>
      </c>
      <c r="F255" s="45"/>
      <c r="G255" s="45"/>
      <c r="H255" s="45">
        <v>2940</v>
      </c>
    </row>
    <row r="256" spans="1:8">
      <c r="A256" s="44">
        <v>2010</v>
      </c>
      <c r="B256" s="44" t="s">
        <v>105</v>
      </c>
      <c r="C256" s="44" t="s">
        <v>44</v>
      </c>
      <c r="D256" s="44" t="s">
        <v>273</v>
      </c>
      <c r="E256" s="44">
        <v>24694</v>
      </c>
      <c r="F256" s="44"/>
      <c r="G256" s="44"/>
      <c r="H256" s="44">
        <v>2716</v>
      </c>
    </row>
    <row r="257" spans="1:8">
      <c r="A257" s="45">
        <v>2010</v>
      </c>
      <c r="B257" s="45" t="s">
        <v>105</v>
      </c>
      <c r="C257" s="45" t="s">
        <v>44</v>
      </c>
      <c r="D257" s="45" t="s">
        <v>274</v>
      </c>
      <c r="E257" s="45">
        <v>17061</v>
      </c>
      <c r="F257" s="45"/>
      <c r="G257" s="45"/>
      <c r="H257" s="45">
        <v>1876</v>
      </c>
    </row>
    <row r="258" spans="1:8">
      <c r="A258" s="44">
        <v>2010</v>
      </c>
      <c r="B258" s="44" t="s">
        <v>105</v>
      </c>
      <c r="C258" s="44" t="s">
        <v>44</v>
      </c>
      <c r="D258" s="44" t="s">
        <v>275</v>
      </c>
      <c r="E258" s="44">
        <v>14654</v>
      </c>
      <c r="F258" s="44"/>
      <c r="G258" s="44"/>
      <c r="H258" s="44">
        <v>1611</v>
      </c>
    </row>
    <row r="259" spans="1:8">
      <c r="A259" s="45">
        <v>2010</v>
      </c>
      <c r="B259" s="45" t="s">
        <v>105</v>
      </c>
      <c r="C259" s="45" t="s">
        <v>44</v>
      </c>
      <c r="D259" s="45" t="s">
        <v>276</v>
      </c>
      <c r="E259" s="45">
        <v>9975</v>
      </c>
      <c r="F259" s="45"/>
      <c r="G259" s="45"/>
      <c r="H259" s="45">
        <v>1097</v>
      </c>
    </row>
    <row r="260" spans="1:8">
      <c r="A260" s="44">
        <v>2010</v>
      </c>
      <c r="B260" s="44" t="s">
        <v>105</v>
      </c>
      <c r="C260" s="44" t="s">
        <v>44</v>
      </c>
      <c r="D260" s="44" t="s">
        <v>277</v>
      </c>
      <c r="E260" s="44">
        <v>7990</v>
      </c>
      <c r="F260" s="44"/>
      <c r="G260" s="44"/>
      <c r="H260" s="44">
        <v>878</v>
      </c>
    </row>
    <row r="261" spans="1:8">
      <c r="A261" s="45">
        <v>2010</v>
      </c>
      <c r="B261" s="45" t="s">
        <v>105</v>
      </c>
      <c r="C261" s="45" t="s">
        <v>44</v>
      </c>
      <c r="D261" s="45" t="s">
        <v>278</v>
      </c>
      <c r="E261" s="45">
        <v>5943</v>
      </c>
      <c r="F261" s="45"/>
      <c r="G261" s="45"/>
      <c r="H261" s="45">
        <v>653</v>
      </c>
    </row>
    <row r="262" spans="1:8">
      <c r="A262" s="44">
        <v>2010</v>
      </c>
      <c r="B262" s="44" t="s">
        <v>105</v>
      </c>
      <c r="C262" s="44" t="s">
        <v>44</v>
      </c>
      <c r="D262" s="44" t="s">
        <v>279</v>
      </c>
      <c r="E262" s="44">
        <v>4700</v>
      </c>
      <c r="F262" s="44"/>
      <c r="G262" s="44"/>
      <c r="H262" s="44">
        <v>611</v>
      </c>
    </row>
    <row r="263" spans="1:8">
      <c r="A263" s="45">
        <v>2010</v>
      </c>
      <c r="B263" s="45" t="s">
        <v>105</v>
      </c>
      <c r="C263" s="45" t="s">
        <v>44</v>
      </c>
      <c r="D263" s="45" t="s">
        <v>280</v>
      </c>
      <c r="E263" s="45">
        <v>3229</v>
      </c>
      <c r="F263" s="45"/>
      <c r="G263" s="45"/>
      <c r="H263" s="45">
        <v>419</v>
      </c>
    </row>
    <row r="264" spans="1:8">
      <c r="A264" s="44">
        <v>2010</v>
      </c>
      <c r="B264" s="44" t="s">
        <v>105</v>
      </c>
      <c r="C264" s="44" t="s">
        <v>44</v>
      </c>
      <c r="D264" s="44" t="s">
        <v>281</v>
      </c>
      <c r="E264" s="44">
        <v>854</v>
      </c>
      <c r="F264" s="44"/>
      <c r="G264" s="44"/>
      <c r="H264" s="44">
        <v>111</v>
      </c>
    </row>
    <row r="265" spans="1:8">
      <c r="A265" s="45">
        <v>2010</v>
      </c>
      <c r="B265" s="45" t="s">
        <v>105</v>
      </c>
      <c r="C265" s="45" t="s">
        <v>44</v>
      </c>
      <c r="D265" s="45" t="s">
        <v>282</v>
      </c>
      <c r="E265" s="45">
        <v>972</v>
      </c>
      <c r="F265" s="45"/>
      <c r="G265" s="45"/>
      <c r="H265" s="45">
        <v>126</v>
      </c>
    </row>
    <row r="266" spans="1:8">
      <c r="A266" s="44">
        <v>2010</v>
      </c>
      <c r="B266" s="44" t="s">
        <v>105</v>
      </c>
      <c r="C266" s="44" t="s">
        <v>44</v>
      </c>
      <c r="D266" s="44" t="s">
        <v>283</v>
      </c>
      <c r="E266" s="44">
        <v>536</v>
      </c>
      <c r="F266" s="44"/>
      <c r="G266" s="44"/>
      <c r="H266" s="44">
        <v>69</v>
      </c>
    </row>
    <row r="267" spans="1:8">
      <c r="A267" s="45">
        <v>2010</v>
      </c>
      <c r="B267" s="45" t="s">
        <v>105</v>
      </c>
      <c r="C267" s="45" t="s">
        <v>44</v>
      </c>
      <c r="D267" s="45" t="s">
        <v>284</v>
      </c>
      <c r="E267" s="45">
        <v>202</v>
      </c>
      <c r="F267" s="45"/>
      <c r="G267" s="45"/>
      <c r="H267" s="45">
        <v>26</v>
      </c>
    </row>
    <row r="268" spans="1:8">
      <c r="A268" s="45">
        <v>2010</v>
      </c>
      <c r="B268" s="45" t="s">
        <v>106</v>
      </c>
      <c r="C268" s="45" t="s">
        <v>44</v>
      </c>
      <c r="D268" s="45" t="s">
        <v>267</v>
      </c>
      <c r="E268" s="45">
        <v>194968</v>
      </c>
      <c r="F268" s="45"/>
      <c r="G268" s="45"/>
      <c r="H268" s="45">
        <v>25345</v>
      </c>
    </row>
    <row r="269" spans="1:8">
      <c r="A269" s="44">
        <v>2010</v>
      </c>
      <c r="B269" s="44" t="s">
        <v>106</v>
      </c>
      <c r="C269" s="44" t="s">
        <v>44</v>
      </c>
      <c r="D269" s="44" t="s">
        <v>268</v>
      </c>
      <c r="E269" s="44">
        <v>139079</v>
      </c>
      <c r="F269" s="44"/>
      <c r="G269" s="44"/>
      <c r="H269" s="44">
        <v>15298</v>
      </c>
    </row>
    <row r="270" spans="1:8">
      <c r="A270" s="45">
        <v>2010</v>
      </c>
      <c r="B270" s="45" t="s">
        <v>106</v>
      </c>
      <c r="C270" s="45" t="s">
        <v>44</v>
      </c>
      <c r="D270" s="45" t="s">
        <v>269</v>
      </c>
      <c r="E270" s="45">
        <v>123714</v>
      </c>
      <c r="F270" s="45"/>
      <c r="G270" s="45"/>
      <c r="H270" s="45">
        <v>13608</v>
      </c>
    </row>
    <row r="271" spans="1:8">
      <c r="A271" s="44">
        <v>2010</v>
      </c>
      <c r="B271" s="44" t="s">
        <v>106</v>
      </c>
      <c r="C271" s="44" t="s">
        <v>44</v>
      </c>
      <c r="D271" s="44" t="s">
        <v>254</v>
      </c>
      <c r="E271" s="44">
        <v>120211</v>
      </c>
      <c r="F271" s="44"/>
      <c r="G271" s="44"/>
      <c r="H271" s="44">
        <v>13223</v>
      </c>
    </row>
    <row r="272" spans="1:8">
      <c r="A272" s="45">
        <v>2010</v>
      </c>
      <c r="B272" s="45" t="s">
        <v>106</v>
      </c>
      <c r="C272" s="45" t="s">
        <v>44</v>
      </c>
      <c r="D272" s="45" t="s">
        <v>270</v>
      </c>
      <c r="E272" s="45">
        <v>105277</v>
      </c>
      <c r="F272" s="45"/>
      <c r="G272" s="45"/>
      <c r="H272" s="45">
        <v>11580</v>
      </c>
    </row>
    <row r="273" spans="1:8">
      <c r="A273" s="44">
        <v>2010</v>
      </c>
      <c r="B273" s="44" t="s">
        <v>106</v>
      </c>
      <c r="C273" s="44" t="s">
        <v>44</v>
      </c>
      <c r="D273" s="44" t="s">
        <v>271</v>
      </c>
      <c r="E273" s="44">
        <v>108133</v>
      </c>
      <c r="F273" s="44"/>
      <c r="G273" s="44"/>
      <c r="H273" s="44">
        <v>11894</v>
      </c>
    </row>
    <row r="274" spans="1:8">
      <c r="A274" s="45">
        <v>2010</v>
      </c>
      <c r="B274" s="45" t="s">
        <v>106</v>
      </c>
      <c r="C274" s="45" t="s">
        <v>44</v>
      </c>
      <c r="D274" s="45" t="s">
        <v>272</v>
      </c>
      <c r="E274" s="45">
        <v>88505</v>
      </c>
      <c r="F274" s="45"/>
      <c r="G274" s="45"/>
      <c r="H274" s="45">
        <v>9735</v>
      </c>
    </row>
    <row r="275" spans="1:8">
      <c r="A275" s="44">
        <v>2010</v>
      </c>
      <c r="B275" s="44" t="s">
        <v>106</v>
      </c>
      <c r="C275" s="44" t="s">
        <v>44</v>
      </c>
      <c r="D275" s="44" t="s">
        <v>273</v>
      </c>
      <c r="E275" s="44">
        <v>73254</v>
      </c>
      <c r="F275" s="44"/>
      <c r="G275" s="44"/>
      <c r="H275" s="44">
        <v>8057</v>
      </c>
    </row>
    <row r="276" spans="1:8">
      <c r="A276" s="45">
        <v>2010</v>
      </c>
      <c r="B276" s="45" t="s">
        <v>106</v>
      </c>
      <c r="C276" s="45" t="s">
        <v>44</v>
      </c>
      <c r="D276" s="45" t="s">
        <v>274</v>
      </c>
      <c r="E276" s="45">
        <v>41710</v>
      </c>
      <c r="F276" s="45"/>
      <c r="G276" s="45"/>
      <c r="H276" s="45">
        <v>4588</v>
      </c>
    </row>
    <row r="277" spans="1:8">
      <c r="A277" s="44">
        <v>2010</v>
      </c>
      <c r="B277" s="44" t="s">
        <v>106</v>
      </c>
      <c r="C277" s="44" t="s">
        <v>44</v>
      </c>
      <c r="D277" s="44" t="s">
        <v>275</v>
      </c>
      <c r="E277" s="44">
        <v>30373</v>
      </c>
      <c r="F277" s="44"/>
      <c r="G277" s="44"/>
      <c r="H277" s="44">
        <v>3341</v>
      </c>
    </row>
    <row r="278" spans="1:8">
      <c r="A278" s="45">
        <v>2010</v>
      </c>
      <c r="B278" s="45" t="s">
        <v>106</v>
      </c>
      <c r="C278" s="45" t="s">
        <v>44</v>
      </c>
      <c r="D278" s="45" t="s">
        <v>276</v>
      </c>
      <c r="E278" s="45">
        <v>19371</v>
      </c>
      <c r="F278" s="45"/>
      <c r="G278" s="45"/>
      <c r="H278" s="45">
        <v>2130</v>
      </c>
    </row>
    <row r="279" spans="1:8">
      <c r="A279" s="44">
        <v>2010</v>
      </c>
      <c r="B279" s="44" t="s">
        <v>106</v>
      </c>
      <c r="C279" s="44" t="s">
        <v>44</v>
      </c>
      <c r="D279" s="44" t="s">
        <v>277</v>
      </c>
      <c r="E279" s="44">
        <v>14202</v>
      </c>
      <c r="F279" s="44"/>
      <c r="G279" s="44"/>
      <c r="H279" s="44">
        <v>1562</v>
      </c>
    </row>
    <row r="280" spans="1:8">
      <c r="A280" s="45">
        <v>2010</v>
      </c>
      <c r="B280" s="45" t="s">
        <v>106</v>
      </c>
      <c r="C280" s="45" t="s">
        <v>44</v>
      </c>
      <c r="D280" s="45" t="s">
        <v>278</v>
      </c>
      <c r="E280" s="45">
        <v>9654</v>
      </c>
      <c r="F280" s="45"/>
      <c r="G280" s="45"/>
      <c r="H280" s="45">
        <v>1061</v>
      </c>
    </row>
    <row r="281" spans="1:8">
      <c r="A281" s="44">
        <v>2010</v>
      </c>
      <c r="B281" s="44" t="s">
        <v>106</v>
      </c>
      <c r="C281" s="44" t="s">
        <v>44</v>
      </c>
      <c r="D281" s="44" t="s">
        <v>279</v>
      </c>
      <c r="E281" s="44">
        <v>6085</v>
      </c>
      <c r="F281" s="44"/>
      <c r="G281" s="44"/>
      <c r="H281" s="44">
        <v>791</v>
      </c>
    </row>
    <row r="282" spans="1:8">
      <c r="A282" s="45">
        <v>2010</v>
      </c>
      <c r="B282" s="45" t="s">
        <v>106</v>
      </c>
      <c r="C282" s="45" t="s">
        <v>44</v>
      </c>
      <c r="D282" s="45" t="s">
        <v>280</v>
      </c>
      <c r="E282" s="45">
        <v>3741</v>
      </c>
      <c r="F282" s="45"/>
      <c r="G282" s="45"/>
      <c r="H282" s="45">
        <v>486</v>
      </c>
    </row>
    <row r="283" spans="1:8">
      <c r="A283" s="44">
        <v>2010</v>
      </c>
      <c r="B283" s="44" t="s">
        <v>106</v>
      </c>
      <c r="C283" s="44" t="s">
        <v>44</v>
      </c>
      <c r="D283" s="44" t="s">
        <v>281</v>
      </c>
      <c r="E283" s="44">
        <v>994</v>
      </c>
      <c r="F283" s="44"/>
      <c r="G283" s="44"/>
      <c r="H283" s="44">
        <v>129</v>
      </c>
    </row>
    <row r="284" spans="1:8">
      <c r="A284" s="45">
        <v>2010</v>
      </c>
      <c r="B284" s="45" t="s">
        <v>106</v>
      </c>
      <c r="C284" s="45" t="s">
        <v>44</v>
      </c>
      <c r="D284" s="45" t="s">
        <v>282</v>
      </c>
      <c r="E284" s="45">
        <v>1129</v>
      </c>
      <c r="F284" s="45"/>
      <c r="G284" s="45"/>
      <c r="H284" s="45">
        <v>146</v>
      </c>
    </row>
    <row r="285" spans="1:8">
      <c r="A285" s="44">
        <v>2010</v>
      </c>
      <c r="B285" s="44" t="s">
        <v>106</v>
      </c>
      <c r="C285" s="44" t="s">
        <v>44</v>
      </c>
      <c r="D285" s="44" t="s">
        <v>283</v>
      </c>
      <c r="E285" s="44">
        <v>784</v>
      </c>
      <c r="F285" s="44"/>
      <c r="G285" s="44"/>
      <c r="H285" s="44">
        <v>101</v>
      </c>
    </row>
    <row r="286" spans="1:8">
      <c r="A286" s="45">
        <v>2010</v>
      </c>
      <c r="B286" s="45" t="s">
        <v>106</v>
      </c>
      <c r="C286" s="45" t="s">
        <v>44</v>
      </c>
      <c r="D286" s="45" t="s">
        <v>284</v>
      </c>
      <c r="E286" s="45">
        <v>385</v>
      </c>
      <c r="F286" s="45"/>
      <c r="G286" s="45"/>
      <c r="H286" s="45">
        <v>50</v>
      </c>
    </row>
    <row r="287" spans="1:8">
      <c r="A287" s="45">
        <v>2010</v>
      </c>
      <c r="B287" s="45" t="s">
        <v>107</v>
      </c>
      <c r="C287" s="45" t="s">
        <v>44</v>
      </c>
      <c r="D287" s="45" t="s">
        <v>267</v>
      </c>
      <c r="E287" s="45">
        <v>78609</v>
      </c>
      <c r="F287" s="45"/>
      <c r="G287" s="45"/>
      <c r="H287" s="45">
        <v>10219</v>
      </c>
    </row>
    <row r="288" spans="1:8">
      <c r="A288" s="44">
        <v>2010</v>
      </c>
      <c r="B288" s="44" t="s">
        <v>107</v>
      </c>
      <c r="C288" s="44" t="s">
        <v>44</v>
      </c>
      <c r="D288" s="44" t="s">
        <v>268</v>
      </c>
      <c r="E288" s="44">
        <v>58648</v>
      </c>
      <c r="F288" s="44"/>
      <c r="G288" s="44"/>
      <c r="H288" s="44">
        <v>6451</v>
      </c>
    </row>
    <row r="289" spans="1:8">
      <c r="A289" s="45">
        <v>2010</v>
      </c>
      <c r="B289" s="45" t="s">
        <v>107</v>
      </c>
      <c r="C289" s="45" t="s">
        <v>44</v>
      </c>
      <c r="D289" s="45" t="s">
        <v>269</v>
      </c>
      <c r="E289" s="45">
        <v>45211</v>
      </c>
      <c r="F289" s="45"/>
      <c r="G289" s="45"/>
      <c r="H289" s="45">
        <v>4973</v>
      </c>
    </row>
    <row r="290" spans="1:8">
      <c r="A290" s="44">
        <v>2010</v>
      </c>
      <c r="B290" s="44" t="s">
        <v>107</v>
      </c>
      <c r="C290" s="44" t="s">
        <v>44</v>
      </c>
      <c r="D290" s="44" t="s">
        <v>254</v>
      </c>
      <c r="E290" s="44">
        <v>36470</v>
      </c>
      <c r="F290" s="44"/>
      <c r="G290" s="44"/>
      <c r="H290" s="44">
        <v>4011</v>
      </c>
    </row>
    <row r="291" spans="1:8">
      <c r="A291" s="45">
        <v>2010</v>
      </c>
      <c r="B291" s="45" t="s">
        <v>107</v>
      </c>
      <c r="C291" s="45" t="s">
        <v>44</v>
      </c>
      <c r="D291" s="45" t="s">
        <v>270</v>
      </c>
      <c r="E291" s="45">
        <v>26281</v>
      </c>
      <c r="F291" s="45"/>
      <c r="G291" s="45"/>
      <c r="H291" s="45">
        <v>2890</v>
      </c>
    </row>
    <row r="292" spans="1:8">
      <c r="A292" s="44">
        <v>2010</v>
      </c>
      <c r="B292" s="44" t="s">
        <v>107</v>
      </c>
      <c r="C292" s="44" t="s">
        <v>44</v>
      </c>
      <c r="D292" s="44" t="s">
        <v>271</v>
      </c>
      <c r="E292" s="44">
        <v>24747</v>
      </c>
      <c r="F292" s="44"/>
      <c r="G292" s="44"/>
      <c r="H292" s="44">
        <v>2722</v>
      </c>
    </row>
    <row r="293" spans="1:8">
      <c r="A293" s="45">
        <v>2010</v>
      </c>
      <c r="B293" s="45" t="s">
        <v>107</v>
      </c>
      <c r="C293" s="45" t="s">
        <v>44</v>
      </c>
      <c r="D293" s="45" t="s">
        <v>272</v>
      </c>
      <c r="E293" s="45">
        <v>18273</v>
      </c>
      <c r="F293" s="45"/>
      <c r="G293" s="45"/>
      <c r="H293" s="45">
        <v>2010</v>
      </c>
    </row>
    <row r="294" spans="1:8">
      <c r="A294" s="44">
        <v>2010</v>
      </c>
      <c r="B294" s="44" t="s">
        <v>107</v>
      </c>
      <c r="C294" s="44" t="s">
        <v>44</v>
      </c>
      <c r="D294" s="44" t="s">
        <v>273</v>
      </c>
      <c r="E294" s="44">
        <v>16522</v>
      </c>
      <c r="F294" s="44"/>
      <c r="G294" s="44"/>
      <c r="H294" s="44">
        <v>1817</v>
      </c>
    </row>
    <row r="295" spans="1:8">
      <c r="A295" s="45">
        <v>2010</v>
      </c>
      <c r="B295" s="45" t="s">
        <v>107</v>
      </c>
      <c r="C295" s="45" t="s">
        <v>44</v>
      </c>
      <c r="D295" s="45" t="s">
        <v>274</v>
      </c>
      <c r="E295" s="45">
        <v>10885</v>
      </c>
      <c r="F295" s="45"/>
      <c r="G295" s="45"/>
      <c r="H295" s="45">
        <v>1197</v>
      </c>
    </row>
    <row r="296" spans="1:8">
      <c r="A296" s="44">
        <v>2010</v>
      </c>
      <c r="B296" s="44" t="s">
        <v>107</v>
      </c>
      <c r="C296" s="44" t="s">
        <v>44</v>
      </c>
      <c r="D296" s="44" t="s">
        <v>275</v>
      </c>
      <c r="E296" s="44">
        <v>9494</v>
      </c>
      <c r="F296" s="44"/>
      <c r="G296" s="44"/>
      <c r="H296" s="44">
        <v>1044</v>
      </c>
    </row>
    <row r="297" spans="1:8">
      <c r="A297" s="45">
        <v>2010</v>
      </c>
      <c r="B297" s="45" t="s">
        <v>107</v>
      </c>
      <c r="C297" s="45" t="s">
        <v>44</v>
      </c>
      <c r="D297" s="45" t="s">
        <v>276</v>
      </c>
      <c r="E297" s="45">
        <v>6194</v>
      </c>
      <c r="F297" s="45"/>
      <c r="G297" s="45"/>
      <c r="H297" s="45">
        <v>681</v>
      </c>
    </row>
    <row r="298" spans="1:8">
      <c r="A298" s="44">
        <v>2010</v>
      </c>
      <c r="B298" s="44" t="s">
        <v>107</v>
      </c>
      <c r="C298" s="44" t="s">
        <v>44</v>
      </c>
      <c r="D298" s="44" t="s">
        <v>277</v>
      </c>
      <c r="E298" s="44">
        <v>4947</v>
      </c>
      <c r="F298" s="44"/>
      <c r="G298" s="44"/>
      <c r="H298" s="44">
        <v>544</v>
      </c>
    </row>
    <row r="299" spans="1:8">
      <c r="A299" s="45">
        <v>2010</v>
      </c>
      <c r="B299" s="45" t="s">
        <v>107</v>
      </c>
      <c r="C299" s="45" t="s">
        <v>44</v>
      </c>
      <c r="D299" s="45" t="s">
        <v>278</v>
      </c>
      <c r="E299" s="45">
        <v>3934</v>
      </c>
      <c r="F299" s="45"/>
      <c r="G299" s="45"/>
      <c r="H299" s="45">
        <v>432</v>
      </c>
    </row>
    <row r="300" spans="1:8">
      <c r="A300" s="44">
        <v>2010</v>
      </c>
      <c r="B300" s="44" t="s">
        <v>107</v>
      </c>
      <c r="C300" s="44" t="s">
        <v>44</v>
      </c>
      <c r="D300" s="44" t="s">
        <v>279</v>
      </c>
      <c r="E300" s="44">
        <v>3457</v>
      </c>
      <c r="F300" s="44"/>
      <c r="G300" s="44"/>
      <c r="H300" s="44">
        <v>449</v>
      </c>
    </row>
    <row r="301" spans="1:8">
      <c r="A301" s="45">
        <v>2010</v>
      </c>
      <c r="B301" s="45" t="s">
        <v>107</v>
      </c>
      <c r="C301" s="45" t="s">
        <v>44</v>
      </c>
      <c r="D301" s="45" t="s">
        <v>280</v>
      </c>
      <c r="E301" s="45">
        <v>2578</v>
      </c>
      <c r="F301" s="45"/>
      <c r="G301" s="45"/>
      <c r="H301" s="45">
        <v>335</v>
      </c>
    </row>
    <row r="302" spans="1:8">
      <c r="A302" s="44">
        <v>2010</v>
      </c>
      <c r="B302" s="44" t="s">
        <v>107</v>
      </c>
      <c r="C302" s="44" t="s">
        <v>44</v>
      </c>
      <c r="D302" s="44" t="s">
        <v>281</v>
      </c>
      <c r="E302" s="44">
        <v>835</v>
      </c>
      <c r="F302" s="44"/>
      <c r="G302" s="44"/>
      <c r="H302" s="44">
        <v>108</v>
      </c>
    </row>
    <row r="303" spans="1:8">
      <c r="A303" s="45">
        <v>2010</v>
      </c>
      <c r="B303" s="45" t="s">
        <v>107</v>
      </c>
      <c r="C303" s="45" t="s">
        <v>44</v>
      </c>
      <c r="D303" s="45" t="s">
        <v>282</v>
      </c>
      <c r="E303" s="45">
        <v>916</v>
      </c>
      <c r="F303" s="45"/>
      <c r="G303" s="45"/>
      <c r="H303" s="45">
        <v>119</v>
      </c>
    </row>
    <row r="304" spans="1:8">
      <c r="A304" s="44">
        <v>2010</v>
      </c>
      <c r="B304" s="44" t="s">
        <v>107</v>
      </c>
      <c r="C304" s="44" t="s">
        <v>44</v>
      </c>
      <c r="D304" s="44" t="s">
        <v>283</v>
      </c>
      <c r="E304" s="44">
        <v>497</v>
      </c>
      <c r="F304" s="44"/>
      <c r="G304" s="44"/>
      <c r="H304" s="44">
        <v>64</v>
      </c>
    </row>
    <row r="305" spans="1:8">
      <c r="A305" s="45">
        <v>2010</v>
      </c>
      <c r="B305" s="45" t="s">
        <v>107</v>
      </c>
      <c r="C305" s="45" t="s">
        <v>44</v>
      </c>
      <c r="D305" s="45" t="s">
        <v>284</v>
      </c>
      <c r="E305" s="45">
        <v>240</v>
      </c>
      <c r="F305" s="45"/>
      <c r="G305" s="45"/>
      <c r="H305" s="45">
        <v>31</v>
      </c>
    </row>
    <row r="306" spans="1:8">
      <c r="A306" s="45">
        <v>2010</v>
      </c>
      <c r="B306" s="45" t="s">
        <v>109</v>
      </c>
      <c r="C306" s="45" t="s">
        <v>44</v>
      </c>
      <c r="D306" s="45" t="s">
        <v>267</v>
      </c>
      <c r="E306" s="45">
        <v>124514</v>
      </c>
      <c r="F306" s="45"/>
      <c r="G306" s="45"/>
      <c r="H306" s="45">
        <v>16186</v>
      </c>
    </row>
    <row r="307" spans="1:8">
      <c r="A307" s="44">
        <v>2010</v>
      </c>
      <c r="B307" s="44" t="s">
        <v>109</v>
      </c>
      <c r="C307" s="44" t="s">
        <v>44</v>
      </c>
      <c r="D307" s="44" t="s">
        <v>268</v>
      </c>
      <c r="E307" s="44">
        <v>90500</v>
      </c>
      <c r="F307" s="44"/>
      <c r="G307" s="44"/>
      <c r="H307" s="44">
        <v>9955</v>
      </c>
    </row>
    <row r="308" spans="1:8">
      <c r="A308" s="45">
        <v>2010</v>
      </c>
      <c r="B308" s="45" t="s">
        <v>109</v>
      </c>
      <c r="C308" s="45" t="s">
        <v>44</v>
      </c>
      <c r="D308" s="45" t="s">
        <v>269</v>
      </c>
      <c r="E308" s="45">
        <v>68249</v>
      </c>
      <c r="F308" s="45"/>
      <c r="G308" s="45"/>
      <c r="H308" s="45">
        <v>7507</v>
      </c>
    </row>
    <row r="309" spans="1:8">
      <c r="A309" s="44">
        <v>2010</v>
      </c>
      <c r="B309" s="44" t="s">
        <v>109</v>
      </c>
      <c r="C309" s="44" t="s">
        <v>44</v>
      </c>
      <c r="D309" s="44" t="s">
        <v>254</v>
      </c>
      <c r="E309" s="44">
        <v>56615</v>
      </c>
      <c r="F309" s="44"/>
      <c r="G309" s="44"/>
      <c r="H309" s="44">
        <v>6227</v>
      </c>
    </row>
    <row r="310" spans="1:8">
      <c r="A310" s="45">
        <v>2010</v>
      </c>
      <c r="B310" s="45" t="s">
        <v>109</v>
      </c>
      <c r="C310" s="45" t="s">
        <v>44</v>
      </c>
      <c r="D310" s="45" t="s">
        <v>270</v>
      </c>
      <c r="E310" s="45">
        <v>40196</v>
      </c>
      <c r="F310" s="45"/>
      <c r="G310" s="45"/>
      <c r="H310" s="45">
        <v>4421</v>
      </c>
    </row>
    <row r="311" spans="1:8">
      <c r="A311" s="44">
        <v>2010</v>
      </c>
      <c r="B311" s="44" t="s">
        <v>109</v>
      </c>
      <c r="C311" s="44" t="s">
        <v>44</v>
      </c>
      <c r="D311" s="44" t="s">
        <v>271</v>
      </c>
      <c r="E311" s="44">
        <v>38865</v>
      </c>
      <c r="F311" s="44"/>
      <c r="G311" s="44"/>
      <c r="H311" s="44">
        <v>4275</v>
      </c>
    </row>
    <row r="312" spans="1:8">
      <c r="A312" s="45">
        <v>2010</v>
      </c>
      <c r="B312" s="45" t="s">
        <v>109</v>
      </c>
      <c r="C312" s="45" t="s">
        <v>44</v>
      </c>
      <c r="D312" s="45" t="s">
        <v>272</v>
      </c>
      <c r="E312" s="45">
        <v>28496</v>
      </c>
      <c r="F312" s="45"/>
      <c r="G312" s="45"/>
      <c r="H312" s="45">
        <v>3134</v>
      </c>
    </row>
    <row r="313" spans="1:8">
      <c r="A313" s="44">
        <v>2010</v>
      </c>
      <c r="B313" s="44" t="s">
        <v>109</v>
      </c>
      <c r="C313" s="44" t="s">
        <v>44</v>
      </c>
      <c r="D313" s="44" t="s">
        <v>273</v>
      </c>
      <c r="E313" s="44">
        <v>26338</v>
      </c>
      <c r="F313" s="44"/>
      <c r="G313" s="44"/>
      <c r="H313" s="44">
        <v>2897</v>
      </c>
    </row>
    <row r="314" spans="1:8">
      <c r="A314" s="45">
        <v>2010</v>
      </c>
      <c r="B314" s="45" t="s">
        <v>109</v>
      </c>
      <c r="C314" s="45" t="s">
        <v>44</v>
      </c>
      <c r="D314" s="45" t="s">
        <v>274</v>
      </c>
      <c r="E314" s="45">
        <v>17758</v>
      </c>
      <c r="F314" s="45"/>
      <c r="G314" s="45"/>
      <c r="H314" s="45">
        <v>1953</v>
      </c>
    </row>
    <row r="315" spans="1:8">
      <c r="A315" s="44">
        <v>2010</v>
      </c>
      <c r="B315" s="44" t="s">
        <v>109</v>
      </c>
      <c r="C315" s="44" t="s">
        <v>44</v>
      </c>
      <c r="D315" s="44" t="s">
        <v>275</v>
      </c>
      <c r="E315" s="44">
        <v>15971</v>
      </c>
      <c r="F315" s="44"/>
      <c r="G315" s="44"/>
      <c r="H315" s="44">
        <v>1756</v>
      </c>
    </row>
    <row r="316" spans="1:8">
      <c r="A316" s="45">
        <v>2010</v>
      </c>
      <c r="B316" s="45" t="s">
        <v>109</v>
      </c>
      <c r="C316" s="45" t="s">
        <v>44</v>
      </c>
      <c r="D316" s="45" t="s">
        <v>276</v>
      </c>
      <c r="E316" s="45">
        <v>10403</v>
      </c>
      <c r="F316" s="45"/>
      <c r="G316" s="45"/>
      <c r="H316" s="45">
        <v>1144</v>
      </c>
    </row>
    <row r="317" spans="1:8">
      <c r="A317" s="44">
        <v>2010</v>
      </c>
      <c r="B317" s="44" t="s">
        <v>109</v>
      </c>
      <c r="C317" s="44" t="s">
        <v>44</v>
      </c>
      <c r="D317" s="44" t="s">
        <v>277</v>
      </c>
      <c r="E317" s="44">
        <v>8286</v>
      </c>
      <c r="F317" s="44"/>
      <c r="G317" s="44"/>
      <c r="H317" s="44">
        <v>911</v>
      </c>
    </row>
    <row r="318" spans="1:8">
      <c r="A318" s="45">
        <v>2010</v>
      </c>
      <c r="B318" s="45" t="s">
        <v>109</v>
      </c>
      <c r="C318" s="45" t="s">
        <v>44</v>
      </c>
      <c r="D318" s="45" t="s">
        <v>278</v>
      </c>
      <c r="E318" s="45">
        <v>6120</v>
      </c>
      <c r="F318" s="45"/>
      <c r="G318" s="45"/>
      <c r="H318" s="45">
        <v>673</v>
      </c>
    </row>
    <row r="319" spans="1:8">
      <c r="A319" s="44">
        <v>2010</v>
      </c>
      <c r="B319" s="44" t="s">
        <v>109</v>
      </c>
      <c r="C319" s="44" t="s">
        <v>44</v>
      </c>
      <c r="D319" s="44" t="s">
        <v>279</v>
      </c>
      <c r="E319" s="44">
        <v>5378</v>
      </c>
      <c r="F319" s="44"/>
      <c r="G319" s="44"/>
      <c r="H319" s="44">
        <v>699</v>
      </c>
    </row>
    <row r="320" spans="1:8">
      <c r="A320" s="45">
        <v>2010</v>
      </c>
      <c r="B320" s="45" t="s">
        <v>109</v>
      </c>
      <c r="C320" s="45" t="s">
        <v>44</v>
      </c>
      <c r="D320" s="45" t="s">
        <v>280</v>
      </c>
      <c r="E320" s="45">
        <v>3751</v>
      </c>
      <c r="F320" s="45"/>
      <c r="G320" s="45"/>
      <c r="H320" s="45">
        <v>487</v>
      </c>
    </row>
    <row r="321" spans="1:8">
      <c r="A321" s="44">
        <v>2010</v>
      </c>
      <c r="B321" s="44" t="s">
        <v>109</v>
      </c>
      <c r="C321" s="44" t="s">
        <v>44</v>
      </c>
      <c r="D321" s="44" t="s">
        <v>281</v>
      </c>
      <c r="E321" s="44">
        <v>1187</v>
      </c>
      <c r="F321" s="44"/>
      <c r="G321" s="44"/>
      <c r="H321" s="44">
        <v>154</v>
      </c>
    </row>
    <row r="322" spans="1:8">
      <c r="A322" s="45">
        <v>2010</v>
      </c>
      <c r="B322" s="45" t="s">
        <v>109</v>
      </c>
      <c r="C322" s="45" t="s">
        <v>44</v>
      </c>
      <c r="D322" s="45" t="s">
        <v>282</v>
      </c>
      <c r="E322" s="45">
        <v>1289</v>
      </c>
      <c r="F322" s="45"/>
      <c r="G322" s="45"/>
      <c r="H322" s="45">
        <v>167</v>
      </c>
    </row>
    <row r="323" spans="1:8">
      <c r="A323" s="44">
        <v>2010</v>
      </c>
      <c r="B323" s="44" t="s">
        <v>109</v>
      </c>
      <c r="C323" s="44" t="s">
        <v>44</v>
      </c>
      <c r="D323" s="44" t="s">
        <v>283</v>
      </c>
      <c r="E323" s="44">
        <v>779</v>
      </c>
      <c r="F323" s="44"/>
      <c r="G323" s="44"/>
      <c r="H323" s="44">
        <v>101</v>
      </c>
    </row>
    <row r="324" spans="1:8">
      <c r="A324" s="45">
        <v>2010</v>
      </c>
      <c r="B324" s="45" t="s">
        <v>109</v>
      </c>
      <c r="C324" s="45" t="s">
        <v>44</v>
      </c>
      <c r="D324" s="45" t="s">
        <v>284</v>
      </c>
      <c r="E324" s="45">
        <v>321</v>
      </c>
      <c r="F324" s="45"/>
      <c r="G324" s="45"/>
      <c r="H324" s="45">
        <v>41</v>
      </c>
    </row>
    <row r="325" spans="1:8">
      <c r="A325" s="45">
        <v>2010</v>
      </c>
      <c r="B325" s="45" t="s">
        <v>108</v>
      </c>
      <c r="C325" s="45" t="s">
        <v>44</v>
      </c>
      <c r="D325" s="45" t="s">
        <v>267</v>
      </c>
      <c r="E325" s="45">
        <v>81196</v>
      </c>
      <c r="F325" s="45"/>
      <c r="G325" s="45"/>
      <c r="H325" s="45">
        <v>10555</v>
      </c>
    </row>
    <row r="326" spans="1:8">
      <c r="A326" s="44">
        <v>2010</v>
      </c>
      <c r="B326" s="44" t="s">
        <v>108</v>
      </c>
      <c r="C326" s="44" t="s">
        <v>44</v>
      </c>
      <c r="D326" s="44" t="s">
        <v>268</v>
      </c>
      <c r="E326" s="44">
        <v>58727</v>
      </c>
      <c r="F326" s="44"/>
      <c r="G326" s="44"/>
      <c r="H326" s="44">
        <v>6459</v>
      </c>
    </row>
    <row r="327" spans="1:8">
      <c r="A327" s="45">
        <v>2010</v>
      </c>
      <c r="B327" s="45" t="s">
        <v>108</v>
      </c>
      <c r="C327" s="45" t="s">
        <v>44</v>
      </c>
      <c r="D327" s="45" t="s">
        <v>269</v>
      </c>
      <c r="E327" s="45">
        <v>46112</v>
      </c>
      <c r="F327" s="45"/>
      <c r="G327" s="45"/>
      <c r="H327" s="45">
        <v>5072</v>
      </c>
    </row>
    <row r="328" spans="1:8">
      <c r="A328" s="44">
        <v>2010</v>
      </c>
      <c r="B328" s="44" t="s">
        <v>108</v>
      </c>
      <c r="C328" s="44" t="s">
        <v>44</v>
      </c>
      <c r="D328" s="44" t="s">
        <v>254</v>
      </c>
      <c r="E328" s="44">
        <v>39112</v>
      </c>
      <c r="F328" s="44"/>
      <c r="G328" s="44"/>
      <c r="H328" s="44">
        <v>4302</v>
      </c>
    </row>
    <row r="329" spans="1:8">
      <c r="A329" s="45">
        <v>2010</v>
      </c>
      <c r="B329" s="45" t="s">
        <v>108</v>
      </c>
      <c r="C329" s="45" t="s">
        <v>44</v>
      </c>
      <c r="D329" s="45" t="s">
        <v>270</v>
      </c>
      <c r="E329" s="45">
        <v>27311</v>
      </c>
      <c r="F329" s="45"/>
      <c r="G329" s="45"/>
      <c r="H329" s="45">
        <v>3004</v>
      </c>
    </row>
    <row r="330" spans="1:8">
      <c r="A330" s="44">
        <v>2010</v>
      </c>
      <c r="B330" s="44" t="s">
        <v>108</v>
      </c>
      <c r="C330" s="44" t="s">
        <v>44</v>
      </c>
      <c r="D330" s="44" t="s">
        <v>271</v>
      </c>
      <c r="E330" s="44">
        <v>25327</v>
      </c>
      <c r="F330" s="44"/>
      <c r="G330" s="44"/>
      <c r="H330" s="44">
        <v>2785</v>
      </c>
    </row>
    <row r="331" spans="1:8">
      <c r="A331" s="45">
        <v>2010</v>
      </c>
      <c r="B331" s="45" t="s">
        <v>108</v>
      </c>
      <c r="C331" s="45" t="s">
        <v>44</v>
      </c>
      <c r="D331" s="45" t="s">
        <v>272</v>
      </c>
      <c r="E331" s="45">
        <v>19248</v>
      </c>
      <c r="F331" s="45"/>
      <c r="G331" s="45"/>
      <c r="H331" s="45">
        <v>2117</v>
      </c>
    </row>
    <row r="332" spans="1:8">
      <c r="A332" s="44">
        <v>2010</v>
      </c>
      <c r="B332" s="44" t="s">
        <v>108</v>
      </c>
      <c r="C332" s="44" t="s">
        <v>44</v>
      </c>
      <c r="D332" s="44" t="s">
        <v>273</v>
      </c>
      <c r="E332" s="44">
        <v>16422</v>
      </c>
      <c r="F332" s="44"/>
      <c r="G332" s="44"/>
      <c r="H332" s="44">
        <v>1806</v>
      </c>
    </row>
    <row r="333" spans="1:8">
      <c r="A333" s="45">
        <v>2010</v>
      </c>
      <c r="B333" s="45" t="s">
        <v>108</v>
      </c>
      <c r="C333" s="45" t="s">
        <v>44</v>
      </c>
      <c r="D333" s="45" t="s">
        <v>274</v>
      </c>
      <c r="E333" s="45">
        <v>10857</v>
      </c>
      <c r="F333" s="45"/>
      <c r="G333" s="45"/>
      <c r="H333" s="45">
        <v>1194</v>
      </c>
    </row>
    <row r="334" spans="1:8">
      <c r="A334" s="44">
        <v>2010</v>
      </c>
      <c r="B334" s="44" t="s">
        <v>108</v>
      </c>
      <c r="C334" s="44" t="s">
        <v>44</v>
      </c>
      <c r="D334" s="44" t="s">
        <v>275</v>
      </c>
      <c r="E334" s="44">
        <v>9503</v>
      </c>
      <c r="F334" s="44"/>
      <c r="G334" s="44"/>
      <c r="H334" s="44">
        <v>1045</v>
      </c>
    </row>
    <row r="335" spans="1:8">
      <c r="A335" s="45">
        <v>2010</v>
      </c>
      <c r="B335" s="45" t="s">
        <v>108</v>
      </c>
      <c r="C335" s="45" t="s">
        <v>44</v>
      </c>
      <c r="D335" s="45" t="s">
        <v>276</v>
      </c>
      <c r="E335" s="45">
        <v>6152</v>
      </c>
      <c r="F335" s="45"/>
      <c r="G335" s="45"/>
      <c r="H335" s="45">
        <v>676</v>
      </c>
    </row>
    <row r="336" spans="1:8">
      <c r="A336" s="44">
        <v>2010</v>
      </c>
      <c r="B336" s="44" t="s">
        <v>108</v>
      </c>
      <c r="C336" s="44" t="s">
        <v>44</v>
      </c>
      <c r="D336" s="44" t="s">
        <v>277</v>
      </c>
      <c r="E336" s="44">
        <v>4973</v>
      </c>
      <c r="F336" s="44"/>
      <c r="G336" s="44"/>
      <c r="H336" s="44">
        <v>547</v>
      </c>
    </row>
    <row r="337" spans="1:8">
      <c r="A337" s="45">
        <v>2010</v>
      </c>
      <c r="B337" s="45" t="s">
        <v>108</v>
      </c>
      <c r="C337" s="45" t="s">
        <v>44</v>
      </c>
      <c r="D337" s="45" t="s">
        <v>278</v>
      </c>
      <c r="E337" s="45">
        <v>3685</v>
      </c>
      <c r="F337" s="45"/>
      <c r="G337" s="45"/>
      <c r="H337" s="45">
        <v>405</v>
      </c>
    </row>
    <row r="338" spans="1:8">
      <c r="A338" s="44">
        <v>2010</v>
      </c>
      <c r="B338" s="44" t="s">
        <v>108</v>
      </c>
      <c r="C338" s="44" t="s">
        <v>44</v>
      </c>
      <c r="D338" s="44" t="s">
        <v>279</v>
      </c>
      <c r="E338" s="44">
        <v>3224</v>
      </c>
      <c r="F338" s="44"/>
      <c r="G338" s="44"/>
      <c r="H338" s="44">
        <v>419</v>
      </c>
    </row>
    <row r="339" spans="1:8">
      <c r="A339" s="45">
        <v>2010</v>
      </c>
      <c r="B339" s="45" t="s">
        <v>108</v>
      </c>
      <c r="C339" s="45" t="s">
        <v>44</v>
      </c>
      <c r="D339" s="45" t="s">
        <v>280</v>
      </c>
      <c r="E339" s="45">
        <v>2327</v>
      </c>
      <c r="F339" s="45"/>
      <c r="G339" s="45"/>
      <c r="H339" s="45">
        <v>302</v>
      </c>
    </row>
    <row r="340" spans="1:8">
      <c r="A340" s="44">
        <v>2010</v>
      </c>
      <c r="B340" s="44" t="s">
        <v>108</v>
      </c>
      <c r="C340" s="44" t="s">
        <v>44</v>
      </c>
      <c r="D340" s="44" t="s">
        <v>281</v>
      </c>
      <c r="E340" s="44">
        <v>804</v>
      </c>
      <c r="F340" s="44"/>
      <c r="G340" s="44"/>
      <c r="H340" s="44">
        <v>104</v>
      </c>
    </row>
    <row r="341" spans="1:8">
      <c r="A341" s="45">
        <v>2010</v>
      </c>
      <c r="B341" s="45" t="s">
        <v>108</v>
      </c>
      <c r="C341" s="45" t="s">
        <v>44</v>
      </c>
      <c r="D341" s="45" t="s">
        <v>282</v>
      </c>
      <c r="E341" s="45">
        <v>879</v>
      </c>
      <c r="F341" s="45"/>
      <c r="G341" s="45"/>
      <c r="H341" s="45">
        <v>114</v>
      </c>
    </row>
    <row r="342" spans="1:8">
      <c r="A342" s="44">
        <v>2010</v>
      </c>
      <c r="B342" s="44" t="s">
        <v>108</v>
      </c>
      <c r="C342" s="44" t="s">
        <v>44</v>
      </c>
      <c r="D342" s="44" t="s">
        <v>283</v>
      </c>
      <c r="E342" s="44">
        <v>637</v>
      </c>
      <c r="F342" s="44"/>
      <c r="G342" s="44"/>
      <c r="H342" s="44">
        <v>82</v>
      </c>
    </row>
    <row r="343" spans="1:8">
      <c r="A343" s="45">
        <v>2010</v>
      </c>
      <c r="B343" s="45" t="s">
        <v>108</v>
      </c>
      <c r="C343" s="45" t="s">
        <v>44</v>
      </c>
      <c r="D343" s="45" t="s">
        <v>284</v>
      </c>
      <c r="E343" s="45">
        <v>434</v>
      </c>
      <c r="F343" s="45"/>
      <c r="G343" s="45"/>
      <c r="H343" s="45">
        <v>56</v>
      </c>
    </row>
    <row r="344" spans="1:8">
      <c r="A344" s="45">
        <v>2010</v>
      </c>
      <c r="B344" s="45" t="s">
        <v>110</v>
      </c>
      <c r="C344" s="45" t="s">
        <v>44</v>
      </c>
      <c r="D344" s="45" t="s">
        <v>267</v>
      </c>
      <c r="E344" s="45">
        <v>171153</v>
      </c>
      <c r="F344" s="45"/>
      <c r="G344" s="45"/>
      <c r="H344" s="45">
        <v>22249</v>
      </c>
    </row>
    <row r="345" spans="1:8">
      <c r="A345" s="44">
        <v>2010</v>
      </c>
      <c r="B345" s="44" t="s">
        <v>110</v>
      </c>
      <c r="C345" s="44" t="s">
        <v>44</v>
      </c>
      <c r="D345" s="44" t="s">
        <v>268</v>
      </c>
      <c r="E345" s="44">
        <v>123997</v>
      </c>
      <c r="F345" s="44"/>
      <c r="G345" s="44"/>
      <c r="H345" s="44">
        <v>13639</v>
      </c>
    </row>
    <row r="346" spans="1:8">
      <c r="A346" s="45">
        <v>2010</v>
      </c>
      <c r="B346" s="45" t="s">
        <v>110</v>
      </c>
      <c r="C346" s="45" t="s">
        <v>44</v>
      </c>
      <c r="D346" s="45" t="s">
        <v>269</v>
      </c>
      <c r="E346" s="45">
        <v>102017</v>
      </c>
      <c r="F346" s="45"/>
      <c r="G346" s="45"/>
      <c r="H346" s="45">
        <v>11221</v>
      </c>
    </row>
    <row r="347" spans="1:8">
      <c r="A347" s="44">
        <v>2010</v>
      </c>
      <c r="B347" s="44" t="s">
        <v>110</v>
      </c>
      <c r="C347" s="44" t="s">
        <v>44</v>
      </c>
      <c r="D347" s="44" t="s">
        <v>254</v>
      </c>
      <c r="E347" s="44">
        <v>90591</v>
      </c>
      <c r="F347" s="44"/>
      <c r="G347" s="44"/>
      <c r="H347" s="44">
        <v>9965</v>
      </c>
    </row>
    <row r="348" spans="1:8">
      <c r="A348" s="45">
        <v>2010</v>
      </c>
      <c r="B348" s="45" t="s">
        <v>110</v>
      </c>
      <c r="C348" s="45" t="s">
        <v>44</v>
      </c>
      <c r="D348" s="45" t="s">
        <v>270</v>
      </c>
      <c r="E348" s="45">
        <v>65119</v>
      </c>
      <c r="F348" s="45"/>
      <c r="G348" s="45"/>
      <c r="H348" s="45">
        <v>7163</v>
      </c>
    </row>
    <row r="349" spans="1:8">
      <c r="A349" s="44">
        <v>2010</v>
      </c>
      <c r="B349" s="44" t="s">
        <v>110</v>
      </c>
      <c r="C349" s="44" t="s">
        <v>44</v>
      </c>
      <c r="D349" s="44" t="s">
        <v>271</v>
      </c>
      <c r="E349" s="44">
        <v>56770</v>
      </c>
      <c r="F349" s="44"/>
      <c r="G349" s="44"/>
      <c r="H349" s="44">
        <v>6244</v>
      </c>
    </row>
    <row r="350" spans="1:8">
      <c r="A350" s="45">
        <v>2010</v>
      </c>
      <c r="B350" s="45" t="s">
        <v>110</v>
      </c>
      <c r="C350" s="45" t="s">
        <v>44</v>
      </c>
      <c r="D350" s="45" t="s">
        <v>272</v>
      </c>
      <c r="E350" s="45">
        <v>45947</v>
      </c>
      <c r="F350" s="45"/>
      <c r="G350" s="45"/>
      <c r="H350" s="45">
        <v>5054</v>
      </c>
    </row>
    <row r="351" spans="1:8">
      <c r="A351" s="44">
        <v>2010</v>
      </c>
      <c r="B351" s="44" t="s">
        <v>110</v>
      </c>
      <c r="C351" s="44" t="s">
        <v>44</v>
      </c>
      <c r="D351" s="44" t="s">
        <v>273</v>
      </c>
      <c r="E351" s="44">
        <v>36472</v>
      </c>
      <c r="F351" s="44"/>
      <c r="G351" s="44"/>
      <c r="H351" s="44">
        <v>4011</v>
      </c>
    </row>
    <row r="352" spans="1:8">
      <c r="A352" s="45">
        <v>2010</v>
      </c>
      <c r="B352" s="45" t="s">
        <v>110</v>
      </c>
      <c r="C352" s="45" t="s">
        <v>44</v>
      </c>
      <c r="D352" s="45" t="s">
        <v>274</v>
      </c>
      <c r="E352" s="45">
        <v>23495</v>
      </c>
      <c r="F352" s="45"/>
      <c r="G352" s="45"/>
      <c r="H352" s="45">
        <v>2584</v>
      </c>
    </row>
    <row r="353" spans="1:8">
      <c r="A353" s="44">
        <v>2010</v>
      </c>
      <c r="B353" s="44" t="s">
        <v>110</v>
      </c>
      <c r="C353" s="44" t="s">
        <v>44</v>
      </c>
      <c r="D353" s="44" t="s">
        <v>275</v>
      </c>
      <c r="E353" s="44">
        <v>19333</v>
      </c>
      <c r="F353" s="44"/>
      <c r="G353" s="44"/>
      <c r="H353" s="44">
        <v>2126</v>
      </c>
    </row>
    <row r="354" spans="1:8">
      <c r="A354" s="45">
        <v>2010</v>
      </c>
      <c r="B354" s="45" t="s">
        <v>110</v>
      </c>
      <c r="C354" s="45" t="s">
        <v>44</v>
      </c>
      <c r="D354" s="45" t="s">
        <v>276</v>
      </c>
      <c r="E354" s="45">
        <v>13083</v>
      </c>
      <c r="F354" s="45"/>
      <c r="G354" s="45"/>
      <c r="H354" s="45">
        <v>1439</v>
      </c>
    </row>
    <row r="355" spans="1:8">
      <c r="A355" s="44">
        <v>2010</v>
      </c>
      <c r="B355" s="44" t="s">
        <v>110</v>
      </c>
      <c r="C355" s="44" t="s">
        <v>44</v>
      </c>
      <c r="D355" s="44" t="s">
        <v>277</v>
      </c>
      <c r="E355" s="44">
        <v>9135</v>
      </c>
      <c r="F355" s="44"/>
      <c r="G355" s="44"/>
      <c r="H355" s="44">
        <v>1004</v>
      </c>
    </row>
    <row r="356" spans="1:8">
      <c r="A356" s="45">
        <v>2010</v>
      </c>
      <c r="B356" s="45" t="s">
        <v>110</v>
      </c>
      <c r="C356" s="45" t="s">
        <v>44</v>
      </c>
      <c r="D356" s="45" t="s">
        <v>278</v>
      </c>
      <c r="E356" s="45">
        <v>6896</v>
      </c>
      <c r="F356" s="45"/>
      <c r="G356" s="45"/>
      <c r="H356" s="45">
        <v>758</v>
      </c>
    </row>
    <row r="357" spans="1:8">
      <c r="A357" s="44">
        <v>2010</v>
      </c>
      <c r="B357" s="44" t="s">
        <v>110</v>
      </c>
      <c r="C357" s="44" t="s">
        <v>44</v>
      </c>
      <c r="D357" s="44" t="s">
        <v>279</v>
      </c>
      <c r="E357" s="44">
        <v>5592</v>
      </c>
      <c r="F357" s="44"/>
      <c r="G357" s="44"/>
      <c r="H357" s="44">
        <v>726</v>
      </c>
    </row>
    <row r="358" spans="1:8">
      <c r="A358" s="45">
        <v>2010</v>
      </c>
      <c r="B358" s="45" t="s">
        <v>110</v>
      </c>
      <c r="C358" s="45" t="s">
        <v>44</v>
      </c>
      <c r="D358" s="45" t="s">
        <v>280</v>
      </c>
      <c r="E358" s="45">
        <v>3968</v>
      </c>
      <c r="F358" s="45"/>
      <c r="G358" s="45"/>
      <c r="H358" s="45">
        <v>515</v>
      </c>
    </row>
    <row r="359" spans="1:8">
      <c r="A359" s="44">
        <v>2010</v>
      </c>
      <c r="B359" s="44" t="s">
        <v>110</v>
      </c>
      <c r="C359" s="44" t="s">
        <v>44</v>
      </c>
      <c r="D359" s="44" t="s">
        <v>281</v>
      </c>
      <c r="E359" s="44">
        <v>1185</v>
      </c>
      <c r="F359" s="44"/>
      <c r="G359" s="44"/>
      <c r="H359" s="44">
        <v>154</v>
      </c>
    </row>
    <row r="360" spans="1:8">
      <c r="A360" s="45">
        <v>2010</v>
      </c>
      <c r="B360" s="45" t="s">
        <v>110</v>
      </c>
      <c r="C360" s="45" t="s">
        <v>44</v>
      </c>
      <c r="D360" s="45" t="s">
        <v>282</v>
      </c>
      <c r="E360" s="45">
        <v>1453</v>
      </c>
      <c r="F360" s="45"/>
      <c r="G360" s="45"/>
      <c r="H360" s="45">
        <v>188</v>
      </c>
    </row>
    <row r="361" spans="1:8">
      <c r="A361" s="44">
        <v>2010</v>
      </c>
      <c r="B361" s="44" t="s">
        <v>110</v>
      </c>
      <c r="C361" s="44" t="s">
        <v>44</v>
      </c>
      <c r="D361" s="44" t="s">
        <v>283</v>
      </c>
      <c r="E361" s="44">
        <v>954</v>
      </c>
      <c r="F361" s="44"/>
      <c r="G361" s="44"/>
      <c r="H361" s="44">
        <v>124</v>
      </c>
    </row>
    <row r="362" spans="1:8">
      <c r="A362" s="45">
        <v>2010</v>
      </c>
      <c r="B362" s="45" t="s">
        <v>110</v>
      </c>
      <c r="C362" s="45" t="s">
        <v>44</v>
      </c>
      <c r="D362" s="45" t="s">
        <v>284</v>
      </c>
      <c r="E362" s="45">
        <v>591</v>
      </c>
      <c r="F362" s="45"/>
      <c r="G362" s="45"/>
      <c r="H362" s="45">
        <v>76</v>
      </c>
    </row>
    <row r="363" spans="1:8">
      <c r="A363" s="45">
        <v>2010</v>
      </c>
      <c r="B363" s="45" t="s">
        <v>111</v>
      </c>
      <c r="C363" s="45" t="s">
        <v>44</v>
      </c>
      <c r="D363" s="45" t="s">
        <v>267</v>
      </c>
      <c r="E363" s="45">
        <v>97690</v>
      </c>
      <c r="F363" s="45"/>
      <c r="G363" s="45"/>
      <c r="H363" s="45">
        <v>12699</v>
      </c>
    </row>
    <row r="364" spans="1:8">
      <c r="A364" s="44">
        <v>2010</v>
      </c>
      <c r="B364" s="44" t="s">
        <v>111</v>
      </c>
      <c r="C364" s="44" t="s">
        <v>44</v>
      </c>
      <c r="D364" s="44" t="s">
        <v>268</v>
      </c>
      <c r="E364" s="44">
        <v>69316</v>
      </c>
      <c r="F364" s="44"/>
      <c r="G364" s="44"/>
      <c r="H364" s="44">
        <v>7624</v>
      </c>
    </row>
    <row r="365" spans="1:8">
      <c r="A365" s="45">
        <v>2010</v>
      </c>
      <c r="B365" s="45" t="s">
        <v>111</v>
      </c>
      <c r="C365" s="45" t="s">
        <v>44</v>
      </c>
      <c r="D365" s="45" t="s">
        <v>269</v>
      </c>
      <c r="E365" s="45">
        <v>54074</v>
      </c>
      <c r="F365" s="45"/>
      <c r="G365" s="45"/>
      <c r="H365" s="45">
        <v>5948</v>
      </c>
    </row>
    <row r="366" spans="1:8">
      <c r="A366" s="44">
        <v>2010</v>
      </c>
      <c r="B366" s="44" t="s">
        <v>111</v>
      </c>
      <c r="C366" s="44" t="s">
        <v>44</v>
      </c>
      <c r="D366" s="44" t="s">
        <v>254</v>
      </c>
      <c r="E366" s="44">
        <v>46642</v>
      </c>
      <c r="F366" s="44"/>
      <c r="G366" s="44"/>
      <c r="H366" s="44">
        <v>5130</v>
      </c>
    </row>
    <row r="367" spans="1:8">
      <c r="A367" s="45">
        <v>2010</v>
      </c>
      <c r="B367" s="45" t="s">
        <v>111</v>
      </c>
      <c r="C367" s="45" t="s">
        <v>44</v>
      </c>
      <c r="D367" s="45" t="s">
        <v>270</v>
      </c>
      <c r="E367" s="45">
        <v>32916</v>
      </c>
      <c r="F367" s="45"/>
      <c r="G367" s="45"/>
      <c r="H367" s="45">
        <v>3620</v>
      </c>
    </row>
    <row r="368" spans="1:8">
      <c r="A368" s="44">
        <v>2010</v>
      </c>
      <c r="B368" s="44" t="s">
        <v>111</v>
      </c>
      <c r="C368" s="44" t="s">
        <v>44</v>
      </c>
      <c r="D368" s="44" t="s">
        <v>271</v>
      </c>
      <c r="E368" s="44">
        <v>30507</v>
      </c>
      <c r="F368" s="44"/>
      <c r="G368" s="44"/>
      <c r="H368" s="44">
        <v>3355</v>
      </c>
    </row>
    <row r="369" spans="1:8">
      <c r="A369" s="45">
        <v>2010</v>
      </c>
      <c r="B369" s="45" t="s">
        <v>111</v>
      </c>
      <c r="C369" s="45" t="s">
        <v>44</v>
      </c>
      <c r="D369" s="45" t="s">
        <v>272</v>
      </c>
      <c r="E369" s="45">
        <v>23376</v>
      </c>
      <c r="F369" s="45"/>
      <c r="G369" s="45"/>
      <c r="H369" s="45">
        <v>2571</v>
      </c>
    </row>
    <row r="370" spans="1:8">
      <c r="A370" s="44">
        <v>2010</v>
      </c>
      <c r="B370" s="44" t="s">
        <v>111</v>
      </c>
      <c r="C370" s="44" t="s">
        <v>44</v>
      </c>
      <c r="D370" s="44" t="s">
        <v>273</v>
      </c>
      <c r="E370" s="44">
        <v>19451</v>
      </c>
      <c r="F370" s="44"/>
      <c r="G370" s="44"/>
      <c r="H370" s="44">
        <v>2139</v>
      </c>
    </row>
    <row r="371" spans="1:8">
      <c r="A371" s="45">
        <v>2010</v>
      </c>
      <c r="B371" s="45" t="s">
        <v>111</v>
      </c>
      <c r="C371" s="45" t="s">
        <v>44</v>
      </c>
      <c r="D371" s="45" t="s">
        <v>274</v>
      </c>
      <c r="E371" s="45">
        <v>12826</v>
      </c>
      <c r="F371" s="45"/>
      <c r="G371" s="45"/>
      <c r="H371" s="45">
        <v>1410</v>
      </c>
    </row>
    <row r="372" spans="1:8">
      <c r="A372" s="44">
        <v>2010</v>
      </c>
      <c r="B372" s="44" t="s">
        <v>111</v>
      </c>
      <c r="C372" s="44" t="s">
        <v>44</v>
      </c>
      <c r="D372" s="44" t="s">
        <v>275</v>
      </c>
      <c r="E372" s="44">
        <v>11575</v>
      </c>
      <c r="F372" s="44"/>
      <c r="G372" s="44"/>
      <c r="H372" s="44">
        <v>1273</v>
      </c>
    </row>
    <row r="373" spans="1:8">
      <c r="A373" s="45">
        <v>2010</v>
      </c>
      <c r="B373" s="45" t="s">
        <v>111</v>
      </c>
      <c r="C373" s="45" t="s">
        <v>44</v>
      </c>
      <c r="D373" s="45" t="s">
        <v>276</v>
      </c>
      <c r="E373" s="45">
        <v>7992</v>
      </c>
      <c r="F373" s="45"/>
      <c r="G373" s="45"/>
      <c r="H373" s="45">
        <v>879</v>
      </c>
    </row>
    <row r="374" spans="1:8">
      <c r="A374" s="44">
        <v>2010</v>
      </c>
      <c r="B374" s="44" t="s">
        <v>111</v>
      </c>
      <c r="C374" s="44" t="s">
        <v>44</v>
      </c>
      <c r="D374" s="44" t="s">
        <v>277</v>
      </c>
      <c r="E374" s="44">
        <v>6759</v>
      </c>
      <c r="F374" s="44"/>
      <c r="G374" s="44"/>
      <c r="H374" s="44">
        <v>743</v>
      </c>
    </row>
    <row r="375" spans="1:8">
      <c r="A375" s="45">
        <v>2010</v>
      </c>
      <c r="B375" s="45" t="s">
        <v>111</v>
      </c>
      <c r="C375" s="45" t="s">
        <v>44</v>
      </c>
      <c r="D375" s="45" t="s">
        <v>278</v>
      </c>
      <c r="E375" s="45">
        <v>5165</v>
      </c>
      <c r="F375" s="45"/>
      <c r="G375" s="45"/>
      <c r="H375" s="45">
        <v>568</v>
      </c>
    </row>
    <row r="376" spans="1:8">
      <c r="A376" s="44">
        <v>2010</v>
      </c>
      <c r="B376" s="44" t="s">
        <v>111</v>
      </c>
      <c r="C376" s="44" t="s">
        <v>44</v>
      </c>
      <c r="D376" s="44" t="s">
        <v>279</v>
      </c>
      <c r="E376" s="44">
        <v>4912</v>
      </c>
      <c r="F376" s="44"/>
      <c r="G376" s="44"/>
      <c r="H376" s="44">
        <v>638</v>
      </c>
    </row>
    <row r="377" spans="1:8">
      <c r="A377" s="45">
        <v>2010</v>
      </c>
      <c r="B377" s="45" t="s">
        <v>111</v>
      </c>
      <c r="C377" s="45" t="s">
        <v>44</v>
      </c>
      <c r="D377" s="45" t="s">
        <v>280</v>
      </c>
      <c r="E377" s="45">
        <v>3628</v>
      </c>
      <c r="F377" s="45"/>
      <c r="G377" s="45"/>
      <c r="H377" s="45">
        <v>471</v>
      </c>
    </row>
    <row r="378" spans="1:8">
      <c r="A378" s="44">
        <v>2010</v>
      </c>
      <c r="B378" s="44" t="s">
        <v>111</v>
      </c>
      <c r="C378" s="44" t="s">
        <v>44</v>
      </c>
      <c r="D378" s="44" t="s">
        <v>281</v>
      </c>
      <c r="E378" s="44">
        <v>1199</v>
      </c>
      <c r="F378" s="44"/>
      <c r="G378" s="44"/>
      <c r="H378" s="44">
        <v>155</v>
      </c>
    </row>
    <row r="379" spans="1:8">
      <c r="A379" s="45">
        <v>2010</v>
      </c>
      <c r="B379" s="45" t="s">
        <v>111</v>
      </c>
      <c r="C379" s="45" t="s">
        <v>44</v>
      </c>
      <c r="D379" s="45" t="s">
        <v>282</v>
      </c>
      <c r="E379" s="45">
        <v>1583</v>
      </c>
      <c r="F379" s="45"/>
      <c r="G379" s="45"/>
      <c r="H379" s="45">
        <v>205</v>
      </c>
    </row>
    <row r="380" spans="1:8">
      <c r="A380" s="44">
        <v>2010</v>
      </c>
      <c r="B380" s="44" t="s">
        <v>111</v>
      </c>
      <c r="C380" s="44" t="s">
        <v>44</v>
      </c>
      <c r="D380" s="44" t="s">
        <v>283</v>
      </c>
      <c r="E380" s="44">
        <v>1116</v>
      </c>
      <c r="F380" s="44"/>
      <c r="G380" s="44"/>
      <c r="H380" s="44">
        <v>145</v>
      </c>
    </row>
    <row r="381" spans="1:8">
      <c r="A381" s="45">
        <v>2010</v>
      </c>
      <c r="B381" s="45" t="s">
        <v>111</v>
      </c>
      <c r="C381" s="45" t="s">
        <v>44</v>
      </c>
      <c r="D381" s="45" t="s">
        <v>284</v>
      </c>
      <c r="E381" s="45">
        <v>878</v>
      </c>
      <c r="F381" s="45"/>
      <c r="G381" s="45"/>
      <c r="H381" s="45">
        <v>114</v>
      </c>
    </row>
    <row r="382" spans="1:8">
      <c r="A382" s="45">
        <v>2015</v>
      </c>
      <c r="B382" s="45" t="s">
        <v>102</v>
      </c>
      <c r="C382" s="45" t="s">
        <v>43</v>
      </c>
      <c r="D382" s="45" t="s">
        <v>267</v>
      </c>
      <c r="E382" s="45">
        <v>141661</v>
      </c>
      <c r="F382" s="45"/>
      <c r="G382" s="45"/>
      <c r="H382" s="45">
        <v>24082</v>
      </c>
    </row>
    <row r="383" spans="1:8">
      <c r="A383" s="44">
        <v>2015</v>
      </c>
      <c r="B383" s="44" t="s">
        <v>102</v>
      </c>
      <c r="C383" s="44" t="s">
        <v>43</v>
      </c>
      <c r="D383" s="44" t="s">
        <v>268</v>
      </c>
      <c r="E383" s="44">
        <v>118967</v>
      </c>
      <c r="F383" s="44"/>
      <c r="G383" s="44"/>
      <c r="H383" s="44">
        <v>16655</v>
      </c>
    </row>
    <row r="384" spans="1:8">
      <c r="A384" s="45">
        <v>2015</v>
      </c>
      <c r="B384" s="45" t="s">
        <v>102</v>
      </c>
      <c r="C384" s="45" t="s">
        <v>43</v>
      </c>
      <c r="D384" s="45" t="s">
        <v>269</v>
      </c>
      <c r="E384" s="45">
        <v>95985</v>
      </c>
      <c r="F384" s="45"/>
      <c r="G384" s="45"/>
      <c r="H384" s="45">
        <v>13437</v>
      </c>
    </row>
    <row r="385" spans="1:8">
      <c r="A385" s="44">
        <v>2015</v>
      </c>
      <c r="B385" s="44" t="s">
        <v>102</v>
      </c>
      <c r="C385" s="44" t="s">
        <v>43</v>
      </c>
      <c r="D385" s="44" t="s">
        <v>254</v>
      </c>
      <c r="E385" s="44">
        <v>88774</v>
      </c>
      <c r="F385" s="44"/>
      <c r="G385" s="44"/>
      <c r="H385" s="44">
        <v>12428</v>
      </c>
    </row>
    <row r="386" spans="1:8">
      <c r="A386" s="45">
        <v>2015</v>
      </c>
      <c r="B386" s="45" t="s">
        <v>102</v>
      </c>
      <c r="C386" s="45" t="s">
        <v>43</v>
      </c>
      <c r="D386" s="45" t="s">
        <v>270</v>
      </c>
      <c r="E386" s="45">
        <v>73635</v>
      </c>
      <c r="F386" s="45"/>
      <c r="G386" s="45"/>
      <c r="H386" s="45">
        <v>10308</v>
      </c>
    </row>
    <row r="387" spans="1:8">
      <c r="A387" s="44">
        <v>2015</v>
      </c>
      <c r="B387" s="44" t="s">
        <v>102</v>
      </c>
      <c r="C387" s="44" t="s">
        <v>43</v>
      </c>
      <c r="D387" s="44" t="s">
        <v>271</v>
      </c>
      <c r="E387" s="44">
        <v>54879</v>
      </c>
      <c r="F387" s="44"/>
      <c r="G387" s="44"/>
      <c r="H387" s="44">
        <v>7683</v>
      </c>
    </row>
    <row r="388" spans="1:8">
      <c r="A388" s="45">
        <v>2015</v>
      </c>
      <c r="B388" s="45" t="s">
        <v>102</v>
      </c>
      <c r="C388" s="45" t="s">
        <v>43</v>
      </c>
      <c r="D388" s="45" t="s">
        <v>272</v>
      </c>
      <c r="E388" s="45">
        <v>45640</v>
      </c>
      <c r="F388" s="45"/>
      <c r="G388" s="45"/>
      <c r="H388" s="45">
        <v>6389</v>
      </c>
    </row>
    <row r="389" spans="1:8">
      <c r="A389" s="44">
        <v>2015</v>
      </c>
      <c r="B389" s="44" t="s">
        <v>102</v>
      </c>
      <c r="C389" s="44" t="s">
        <v>43</v>
      </c>
      <c r="D389" s="44" t="s">
        <v>273</v>
      </c>
      <c r="E389" s="44">
        <v>35352</v>
      </c>
      <c r="F389" s="44"/>
      <c r="G389" s="44"/>
      <c r="H389" s="44">
        <v>4949</v>
      </c>
    </row>
    <row r="390" spans="1:8">
      <c r="A390" s="45">
        <v>2015</v>
      </c>
      <c r="B390" s="45" t="s">
        <v>102</v>
      </c>
      <c r="C390" s="45" t="s">
        <v>43</v>
      </c>
      <c r="D390" s="45" t="s">
        <v>274</v>
      </c>
      <c r="E390" s="45">
        <v>28228</v>
      </c>
      <c r="F390" s="45"/>
      <c r="G390" s="45"/>
      <c r="H390" s="45">
        <v>3951</v>
      </c>
    </row>
    <row r="391" spans="1:8">
      <c r="A391" s="44">
        <v>2015</v>
      </c>
      <c r="B391" s="44" t="s">
        <v>102</v>
      </c>
      <c r="C391" s="44" t="s">
        <v>43</v>
      </c>
      <c r="D391" s="44" t="s">
        <v>275</v>
      </c>
      <c r="E391" s="44">
        <v>19523</v>
      </c>
      <c r="F391" s="44"/>
      <c r="G391" s="44"/>
      <c r="H391" s="44">
        <v>2733</v>
      </c>
    </row>
    <row r="392" spans="1:8">
      <c r="A392" s="45">
        <v>2015</v>
      </c>
      <c r="B392" s="45" t="s">
        <v>102</v>
      </c>
      <c r="C392" s="45" t="s">
        <v>43</v>
      </c>
      <c r="D392" s="45" t="s">
        <v>276</v>
      </c>
      <c r="E392" s="45">
        <v>16729</v>
      </c>
      <c r="F392" s="45"/>
      <c r="G392" s="45"/>
      <c r="H392" s="45">
        <v>2342</v>
      </c>
    </row>
    <row r="393" spans="1:8">
      <c r="A393" s="44">
        <v>2015</v>
      </c>
      <c r="B393" s="44" t="s">
        <v>102</v>
      </c>
      <c r="C393" s="44" t="s">
        <v>43</v>
      </c>
      <c r="D393" s="44" t="s">
        <v>277</v>
      </c>
      <c r="E393" s="44">
        <v>13379</v>
      </c>
      <c r="F393" s="44"/>
      <c r="G393" s="44"/>
      <c r="H393" s="44">
        <v>1873</v>
      </c>
    </row>
    <row r="394" spans="1:8">
      <c r="A394" s="45">
        <v>2015</v>
      </c>
      <c r="B394" s="45" t="s">
        <v>102</v>
      </c>
      <c r="C394" s="45" t="s">
        <v>43</v>
      </c>
      <c r="D394" s="45" t="s">
        <v>278</v>
      </c>
      <c r="E394" s="45">
        <v>8707</v>
      </c>
      <c r="F394" s="45"/>
      <c r="G394" s="45"/>
      <c r="H394" s="45">
        <v>1218</v>
      </c>
    </row>
    <row r="395" spans="1:8">
      <c r="A395" s="44">
        <v>2015</v>
      </c>
      <c r="B395" s="44" t="s">
        <v>102</v>
      </c>
      <c r="C395" s="44" t="s">
        <v>43</v>
      </c>
      <c r="D395" s="44" t="s">
        <v>279</v>
      </c>
      <c r="E395" s="44">
        <v>7982</v>
      </c>
      <c r="F395" s="44"/>
      <c r="G395" s="44"/>
      <c r="H395" s="44">
        <v>1117</v>
      </c>
    </row>
    <row r="396" spans="1:8">
      <c r="A396" s="45">
        <v>2015</v>
      </c>
      <c r="B396" s="45" t="s">
        <v>102</v>
      </c>
      <c r="C396" s="45" t="s">
        <v>43</v>
      </c>
      <c r="D396" s="45" t="s">
        <v>280</v>
      </c>
      <c r="E396" s="45">
        <v>5370</v>
      </c>
      <c r="F396" s="45"/>
      <c r="G396" s="45"/>
      <c r="H396" s="45">
        <v>751</v>
      </c>
    </row>
    <row r="397" spans="1:8">
      <c r="A397" s="44">
        <v>2015</v>
      </c>
      <c r="B397" s="44" t="s">
        <v>102</v>
      </c>
      <c r="C397" s="44" t="s">
        <v>43</v>
      </c>
      <c r="D397" s="44" t="s">
        <v>281</v>
      </c>
      <c r="E397" s="44">
        <v>3756</v>
      </c>
      <c r="F397" s="44"/>
      <c r="G397" s="44"/>
      <c r="H397" s="44">
        <v>638</v>
      </c>
    </row>
    <row r="398" spans="1:8">
      <c r="A398" s="45">
        <v>2015</v>
      </c>
      <c r="B398" s="45" t="s">
        <v>102</v>
      </c>
      <c r="C398" s="45" t="s">
        <v>43</v>
      </c>
      <c r="D398" s="45" t="s">
        <v>285</v>
      </c>
      <c r="E398" s="45">
        <v>4396</v>
      </c>
      <c r="F398" s="45"/>
      <c r="G398" s="45"/>
      <c r="H398" s="45">
        <v>747</v>
      </c>
    </row>
    <row r="399" spans="1:8">
      <c r="A399" s="44">
        <v>2015</v>
      </c>
      <c r="B399" s="44" t="s">
        <v>103</v>
      </c>
      <c r="C399" s="44" t="s">
        <v>43</v>
      </c>
      <c r="D399" s="44" t="s">
        <v>267</v>
      </c>
      <c r="E399" s="44">
        <v>192384</v>
      </c>
      <c r="F399" s="44"/>
      <c r="G399" s="44"/>
      <c r="H399" s="44">
        <v>32705</v>
      </c>
    </row>
    <row r="400" spans="1:8">
      <c r="A400" s="45">
        <v>2015</v>
      </c>
      <c r="B400" s="45" t="s">
        <v>103</v>
      </c>
      <c r="C400" s="45" t="s">
        <v>43</v>
      </c>
      <c r="D400" s="45" t="s">
        <v>268</v>
      </c>
      <c r="E400" s="45">
        <v>169548</v>
      </c>
      <c r="F400" s="45"/>
      <c r="G400" s="45"/>
      <c r="H400" s="45">
        <v>23736</v>
      </c>
    </row>
    <row r="401" spans="1:8">
      <c r="A401" s="44">
        <v>2015</v>
      </c>
      <c r="B401" s="44" t="s">
        <v>103</v>
      </c>
      <c r="C401" s="44" t="s">
        <v>43</v>
      </c>
      <c r="D401" s="44" t="s">
        <v>269</v>
      </c>
      <c r="E401" s="44">
        <v>156969</v>
      </c>
      <c r="F401" s="44"/>
      <c r="G401" s="44"/>
      <c r="H401" s="44">
        <v>21975</v>
      </c>
    </row>
    <row r="402" spans="1:8">
      <c r="A402" s="45">
        <v>2015</v>
      </c>
      <c r="B402" s="45" t="s">
        <v>103</v>
      </c>
      <c r="C402" s="45" t="s">
        <v>43</v>
      </c>
      <c r="D402" s="45" t="s">
        <v>254</v>
      </c>
      <c r="E402" s="45">
        <v>135388</v>
      </c>
      <c r="F402" s="45"/>
      <c r="G402" s="45"/>
      <c r="H402" s="45">
        <v>18954</v>
      </c>
    </row>
    <row r="403" spans="1:8">
      <c r="A403" s="44">
        <v>2015</v>
      </c>
      <c r="B403" s="44" t="s">
        <v>103</v>
      </c>
      <c r="C403" s="44" t="s">
        <v>43</v>
      </c>
      <c r="D403" s="44" t="s">
        <v>270</v>
      </c>
      <c r="E403" s="44">
        <v>126294</v>
      </c>
      <c r="F403" s="44"/>
      <c r="G403" s="44"/>
      <c r="H403" s="44">
        <v>17681</v>
      </c>
    </row>
    <row r="404" spans="1:8">
      <c r="A404" s="45">
        <v>2015</v>
      </c>
      <c r="B404" s="45" t="s">
        <v>103</v>
      </c>
      <c r="C404" s="45" t="s">
        <v>43</v>
      </c>
      <c r="D404" s="45" t="s">
        <v>271</v>
      </c>
      <c r="E404" s="45">
        <v>93170</v>
      </c>
      <c r="F404" s="45"/>
      <c r="G404" s="45"/>
      <c r="H404" s="45">
        <v>13043</v>
      </c>
    </row>
    <row r="405" spans="1:8">
      <c r="A405" s="44">
        <v>2015</v>
      </c>
      <c r="B405" s="44" t="s">
        <v>103</v>
      </c>
      <c r="C405" s="44" t="s">
        <v>43</v>
      </c>
      <c r="D405" s="44" t="s">
        <v>272</v>
      </c>
      <c r="E405" s="44">
        <v>79796</v>
      </c>
      <c r="F405" s="44"/>
      <c r="G405" s="44"/>
      <c r="H405" s="44">
        <v>11171</v>
      </c>
    </row>
    <row r="406" spans="1:8">
      <c r="A406" s="45">
        <v>2015</v>
      </c>
      <c r="B406" s="45" t="s">
        <v>103</v>
      </c>
      <c r="C406" s="45" t="s">
        <v>43</v>
      </c>
      <c r="D406" s="45" t="s">
        <v>273</v>
      </c>
      <c r="E406" s="45">
        <v>57949</v>
      </c>
      <c r="F406" s="45"/>
      <c r="G406" s="45"/>
      <c r="H406" s="45">
        <v>8112</v>
      </c>
    </row>
    <row r="407" spans="1:8">
      <c r="A407" s="44">
        <v>2015</v>
      </c>
      <c r="B407" s="44" t="s">
        <v>103</v>
      </c>
      <c r="C407" s="44" t="s">
        <v>43</v>
      </c>
      <c r="D407" s="44" t="s">
        <v>274</v>
      </c>
      <c r="E407" s="44">
        <v>45635</v>
      </c>
      <c r="F407" s="44"/>
      <c r="G407" s="44"/>
      <c r="H407" s="44">
        <v>6388</v>
      </c>
    </row>
    <row r="408" spans="1:8">
      <c r="A408" s="45">
        <v>2015</v>
      </c>
      <c r="B408" s="45" t="s">
        <v>103</v>
      </c>
      <c r="C408" s="45" t="s">
        <v>43</v>
      </c>
      <c r="D408" s="45" t="s">
        <v>275</v>
      </c>
      <c r="E408" s="45">
        <v>32010</v>
      </c>
      <c r="F408" s="45"/>
      <c r="G408" s="45"/>
      <c r="H408" s="45">
        <v>4481</v>
      </c>
    </row>
    <row r="409" spans="1:8">
      <c r="A409" s="44">
        <v>2015</v>
      </c>
      <c r="B409" s="44" t="s">
        <v>103</v>
      </c>
      <c r="C409" s="44" t="s">
        <v>43</v>
      </c>
      <c r="D409" s="44" t="s">
        <v>276</v>
      </c>
      <c r="E409" s="44">
        <v>28208</v>
      </c>
      <c r="F409" s="44"/>
      <c r="G409" s="44"/>
      <c r="H409" s="44">
        <v>3949</v>
      </c>
    </row>
    <row r="410" spans="1:8">
      <c r="A410" s="45">
        <v>2015</v>
      </c>
      <c r="B410" s="45" t="s">
        <v>103</v>
      </c>
      <c r="C410" s="45" t="s">
        <v>43</v>
      </c>
      <c r="D410" s="45" t="s">
        <v>277</v>
      </c>
      <c r="E410" s="45">
        <v>22892</v>
      </c>
      <c r="F410" s="45"/>
      <c r="G410" s="45"/>
      <c r="H410" s="45">
        <v>3204</v>
      </c>
    </row>
    <row r="411" spans="1:8">
      <c r="A411" s="44">
        <v>2015</v>
      </c>
      <c r="B411" s="44" t="s">
        <v>103</v>
      </c>
      <c r="C411" s="44" t="s">
        <v>43</v>
      </c>
      <c r="D411" s="44" t="s">
        <v>278</v>
      </c>
      <c r="E411" s="44">
        <v>14858</v>
      </c>
      <c r="F411" s="44"/>
      <c r="G411" s="44"/>
      <c r="H411" s="44">
        <v>2080</v>
      </c>
    </row>
    <row r="412" spans="1:8">
      <c r="A412" s="45">
        <v>2015</v>
      </c>
      <c r="B412" s="45" t="s">
        <v>103</v>
      </c>
      <c r="C412" s="45" t="s">
        <v>43</v>
      </c>
      <c r="D412" s="45" t="s">
        <v>279</v>
      </c>
      <c r="E412" s="45">
        <v>11176</v>
      </c>
      <c r="F412" s="45"/>
      <c r="G412" s="45"/>
      <c r="H412" s="45">
        <v>1564</v>
      </c>
    </row>
    <row r="413" spans="1:8">
      <c r="A413" s="44">
        <v>2015</v>
      </c>
      <c r="B413" s="44" t="s">
        <v>103</v>
      </c>
      <c r="C413" s="44" t="s">
        <v>43</v>
      </c>
      <c r="D413" s="44" t="s">
        <v>280</v>
      </c>
      <c r="E413" s="44">
        <v>7182</v>
      </c>
      <c r="F413" s="44"/>
      <c r="G413" s="44"/>
      <c r="H413" s="44">
        <v>1005</v>
      </c>
    </row>
    <row r="414" spans="1:8">
      <c r="A414" s="45">
        <v>2015</v>
      </c>
      <c r="B414" s="45" t="s">
        <v>103</v>
      </c>
      <c r="C414" s="45" t="s">
        <v>43</v>
      </c>
      <c r="D414" s="45" t="s">
        <v>281</v>
      </c>
      <c r="E414" s="45">
        <v>4594</v>
      </c>
      <c r="F414" s="45"/>
      <c r="G414" s="45"/>
      <c r="H414" s="45">
        <v>780</v>
      </c>
    </row>
    <row r="415" spans="1:8">
      <c r="A415" s="44">
        <v>2015</v>
      </c>
      <c r="B415" s="44" t="s">
        <v>103</v>
      </c>
      <c r="C415" s="44" t="s">
        <v>43</v>
      </c>
      <c r="D415" s="44" t="s">
        <v>285</v>
      </c>
      <c r="E415" s="44">
        <v>4414</v>
      </c>
      <c r="F415" s="44"/>
      <c r="G415" s="44"/>
      <c r="H415" s="44">
        <v>750</v>
      </c>
    </row>
    <row r="416" spans="1:8">
      <c r="A416" s="45">
        <v>2015</v>
      </c>
      <c r="B416" s="45" t="s">
        <v>104</v>
      </c>
      <c r="C416" s="45" t="s">
        <v>43</v>
      </c>
      <c r="D416" s="45" t="s">
        <v>267</v>
      </c>
      <c r="E416" s="45">
        <v>170078</v>
      </c>
      <c r="F416" s="45"/>
      <c r="G416" s="45"/>
      <c r="H416" s="45">
        <v>28913</v>
      </c>
    </row>
    <row r="417" spans="1:8">
      <c r="A417" s="44">
        <v>2015</v>
      </c>
      <c r="B417" s="44" t="s">
        <v>104</v>
      </c>
      <c r="C417" s="44" t="s">
        <v>43</v>
      </c>
      <c r="D417" s="44" t="s">
        <v>268</v>
      </c>
      <c r="E417" s="44">
        <v>137774</v>
      </c>
      <c r="F417" s="44"/>
      <c r="G417" s="44"/>
      <c r="H417" s="44">
        <v>19288</v>
      </c>
    </row>
    <row r="418" spans="1:8">
      <c r="A418" s="45">
        <v>2015</v>
      </c>
      <c r="B418" s="45" t="s">
        <v>104</v>
      </c>
      <c r="C418" s="45" t="s">
        <v>43</v>
      </c>
      <c r="D418" s="45" t="s">
        <v>269</v>
      </c>
      <c r="E418" s="45">
        <v>111183</v>
      </c>
      <c r="F418" s="45"/>
      <c r="G418" s="45"/>
      <c r="H418" s="45">
        <v>15565</v>
      </c>
    </row>
    <row r="419" spans="1:8">
      <c r="A419" s="44">
        <v>2015</v>
      </c>
      <c r="B419" s="44" t="s">
        <v>104</v>
      </c>
      <c r="C419" s="44" t="s">
        <v>43</v>
      </c>
      <c r="D419" s="44" t="s">
        <v>254</v>
      </c>
      <c r="E419" s="44">
        <v>101795</v>
      </c>
      <c r="F419" s="44"/>
      <c r="G419" s="44"/>
      <c r="H419" s="44">
        <v>14251</v>
      </c>
    </row>
    <row r="420" spans="1:8">
      <c r="A420" s="45">
        <v>2015</v>
      </c>
      <c r="B420" s="45" t="s">
        <v>104</v>
      </c>
      <c r="C420" s="45" t="s">
        <v>43</v>
      </c>
      <c r="D420" s="45" t="s">
        <v>270</v>
      </c>
      <c r="E420" s="45">
        <v>82724</v>
      </c>
      <c r="F420" s="45"/>
      <c r="G420" s="45"/>
      <c r="H420" s="45">
        <v>11581</v>
      </c>
    </row>
    <row r="421" spans="1:8">
      <c r="A421" s="44">
        <v>2015</v>
      </c>
      <c r="B421" s="44" t="s">
        <v>104</v>
      </c>
      <c r="C421" s="44" t="s">
        <v>43</v>
      </c>
      <c r="D421" s="44" t="s">
        <v>271</v>
      </c>
      <c r="E421" s="44">
        <v>67862</v>
      </c>
      <c r="F421" s="44"/>
      <c r="G421" s="44"/>
      <c r="H421" s="44">
        <v>9500</v>
      </c>
    </row>
    <row r="422" spans="1:8">
      <c r="A422" s="45">
        <v>2015</v>
      </c>
      <c r="B422" s="45" t="s">
        <v>104</v>
      </c>
      <c r="C422" s="45" t="s">
        <v>43</v>
      </c>
      <c r="D422" s="45" t="s">
        <v>272</v>
      </c>
      <c r="E422" s="45">
        <v>58171</v>
      </c>
      <c r="F422" s="45"/>
      <c r="G422" s="45"/>
      <c r="H422" s="45">
        <v>8143</v>
      </c>
    </row>
    <row r="423" spans="1:8">
      <c r="A423" s="44">
        <v>2015</v>
      </c>
      <c r="B423" s="44" t="s">
        <v>104</v>
      </c>
      <c r="C423" s="44" t="s">
        <v>43</v>
      </c>
      <c r="D423" s="44" t="s">
        <v>273</v>
      </c>
      <c r="E423" s="44">
        <v>42213</v>
      </c>
      <c r="F423" s="44"/>
      <c r="G423" s="44"/>
      <c r="H423" s="44">
        <v>5909</v>
      </c>
    </row>
    <row r="424" spans="1:8">
      <c r="A424" s="45">
        <v>2015</v>
      </c>
      <c r="B424" s="45" t="s">
        <v>104</v>
      </c>
      <c r="C424" s="45" t="s">
        <v>43</v>
      </c>
      <c r="D424" s="45" t="s">
        <v>274</v>
      </c>
      <c r="E424" s="45">
        <v>35169</v>
      </c>
      <c r="F424" s="45"/>
      <c r="G424" s="45"/>
      <c r="H424" s="45">
        <v>4923</v>
      </c>
    </row>
    <row r="425" spans="1:8">
      <c r="A425" s="44">
        <v>2015</v>
      </c>
      <c r="B425" s="44" t="s">
        <v>104</v>
      </c>
      <c r="C425" s="44" t="s">
        <v>43</v>
      </c>
      <c r="D425" s="44" t="s">
        <v>275</v>
      </c>
      <c r="E425" s="44">
        <v>24485</v>
      </c>
      <c r="F425" s="44"/>
      <c r="G425" s="44"/>
      <c r="H425" s="44">
        <v>3427</v>
      </c>
    </row>
    <row r="426" spans="1:8">
      <c r="A426" s="45">
        <v>2015</v>
      </c>
      <c r="B426" s="45" t="s">
        <v>104</v>
      </c>
      <c r="C426" s="45" t="s">
        <v>43</v>
      </c>
      <c r="D426" s="45" t="s">
        <v>276</v>
      </c>
      <c r="E426" s="45">
        <v>21129</v>
      </c>
      <c r="F426" s="45"/>
      <c r="G426" s="45"/>
      <c r="H426" s="45">
        <v>2958</v>
      </c>
    </row>
    <row r="427" spans="1:8">
      <c r="A427" s="44">
        <v>2015</v>
      </c>
      <c r="B427" s="44" t="s">
        <v>104</v>
      </c>
      <c r="C427" s="44" t="s">
        <v>43</v>
      </c>
      <c r="D427" s="44" t="s">
        <v>277</v>
      </c>
      <c r="E427" s="44">
        <v>16321</v>
      </c>
      <c r="F427" s="44"/>
      <c r="G427" s="44"/>
      <c r="H427" s="44">
        <v>2284</v>
      </c>
    </row>
    <row r="428" spans="1:8">
      <c r="A428" s="45">
        <v>2015</v>
      </c>
      <c r="B428" s="45" t="s">
        <v>104</v>
      </c>
      <c r="C428" s="45" t="s">
        <v>43</v>
      </c>
      <c r="D428" s="45" t="s">
        <v>278</v>
      </c>
      <c r="E428" s="45">
        <v>11303</v>
      </c>
      <c r="F428" s="45"/>
      <c r="G428" s="45"/>
      <c r="H428" s="45">
        <v>1582</v>
      </c>
    </row>
    <row r="429" spans="1:8">
      <c r="A429" s="44">
        <v>2015</v>
      </c>
      <c r="B429" s="44" t="s">
        <v>104</v>
      </c>
      <c r="C429" s="44" t="s">
        <v>43</v>
      </c>
      <c r="D429" s="44" t="s">
        <v>279</v>
      </c>
      <c r="E429" s="44">
        <v>11986</v>
      </c>
      <c r="F429" s="44"/>
      <c r="G429" s="44"/>
      <c r="H429" s="44">
        <v>1678</v>
      </c>
    </row>
    <row r="430" spans="1:8">
      <c r="A430" s="45">
        <v>2015</v>
      </c>
      <c r="B430" s="45" t="s">
        <v>104</v>
      </c>
      <c r="C430" s="45" t="s">
        <v>43</v>
      </c>
      <c r="D430" s="45" t="s">
        <v>280</v>
      </c>
      <c r="E430" s="45">
        <v>8741</v>
      </c>
      <c r="F430" s="45"/>
      <c r="G430" s="45"/>
      <c r="H430" s="45">
        <v>1223</v>
      </c>
    </row>
    <row r="431" spans="1:8">
      <c r="A431" s="44">
        <v>2015</v>
      </c>
      <c r="B431" s="44" t="s">
        <v>104</v>
      </c>
      <c r="C431" s="44" t="s">
        <v>43</v>
      </c>
      <c r="D431" s="44" t="s">
        <v>281</v>
      </c>
      <c r="E431" s="44">
        <v>6689</v>
      </c>
      <c r="F431" s="44"/>
      <c r="G431" s="44"/>
      <c r="H431" s="44">
        <v>1137</v>
      </c>
    </row>
    <row r="432" spans="1:8">
      <c r="A432" s="45">
        <v>2015</v>
      </c>
      <c r="B432" s="45" t="s">
        <v>104</v>
      </c>
      <c r="C432" s="45" t="s">
        <v>43</v>
      </c>
      <c r="D432" s="45" t="s">
        <v>285</v>
      </c>
      <c r="E432" s="45">
        <v>7981</v>
      </c>
      <c r="F432" s="45"/>
      <c r="G432" s="45"/>
      <c r="H432" s="45">
        <v>1356</v>
      </c>
    </row>
    <row r="433" spans="1:8">
      <c r="A433" s="44">
        <v>2015</v>
      </c>
      <c r="B433" s="44" t="s">
        <v>105</v>
      </c>
      <c r="C433" s="44" t="s">
        <v>43</v>
      </c>
      <c r="D433" s="44" t="s">
        <v>267</v>
      </c>
      <c r="E433" s="44">
        <v>112332</v>
      </c>
      <c r="F433" s="44"/>
      <c r="G433" s="44"/>
      <c r="H433" s="44">
        <v>19096</v>
      </c>
    </row>
    <row r="434" spans="1:8">
      <c r="A434" s="45">
        <v>2015</v>
      </c>
      <c r="B434" s="45" t="s">
        <v>105</v>
      </c>
      <c r="C434" s="45" t="s">
        <v>43</v>
      </c>
      <c r="D434" s="45" t="s">
        <v>268</v>
      </c>
      <c r="E434" s="45">
        <v>90976</v>
      </c>
      <c r="F434" s="45"/>
      <c r="G434" s="45"/>
      <c r="H434" s="45">
        <v>12736</v>
      </c>
    </row>
    <row r="435" spans="1:8">
      <c r="A435" s="44">
        <v>2015</v>
      </c>
      <c r="B435" s="44" t="s">
        <v>105</v>
      </c>
      <c r="C435" s="44" t="s">
        <v>43</v>
      </c>
      <c r="D435" s="44" t="s">
        <v>269</v>
      </c>
      <c r="E435" s="44">
        <v>68643</v>
      </c>
      <c r="F435" s="44"/>
      <c r="G435" s="44"/>
      <c r="H435" s="44">
        <v>9610</v>
      </c>
    </row>
    <row r="436" spans="1:8">
      <c r="A436" s="45">
        <v>2015</v>
      </c>
      <c r="B436" s="45" t="s">
        <v>105</v>
      </c>
      <c r="C436" s="45" t="s">
        <v>43</v>
      </c>
      <c r="D436" s="45" t="s">
        <v>254</v>
      </c>
      <c r="E436" s="45">
        <v>62539</v>
      </c>
      <c r="F436" s="45"/>
      <c r="G436" s="45"/>
      <c r="H436" s="45">
        <v>8755</v>
      </c>
    </row>
    <row r="437" spans="1:8">
      <c r="A437" s="44">
        <v>2015</v>
      </c>
      <c r="B437" s="44" t="s">
        <v>105</v>
      </c>
      <c r="C437" s="44" t="s">
        <v>43</v>
      </c>
      <c r="D437" s="44" t="s">
        <v>270</v>
      </c>
      <c r="E437" s="44">
        <v>50052</v>
      </c>
      <c r="F437" s="44"/>
      <c r="G437" s="44"/>
      <c r="H437" s="44">
        <v>7007</v>
      </c>
    </row>
    <row r="438" spans="1:8">
      <c r="A438" s="45">
        <v>2015</v>
      </c>
      <c r="B438" s="45" t="s">
        <v>105</v>
      </c>
      <c r="C438" s="45" t="s">
        <v>43</v>
      </c>
      <c r="D438" s="45" t="s">
        <v>271</v>
      </c>
      <c r="E438" s="45">
        <v>39209</v>
      </c>
      <c r="F438" s="45"/>
      <c r="G438" s="45"/>
      <c r="H438" s="45">
        <v>5489</v>
      </c>
    </row>
    <row r="439" spans="1:8">
      <c r="A439" s="44">
        <v>2015</v>
      </c>
      <c r="B439" s="44" t="s">
        <v>105</v>
      </c>
      <c r="C439" s="44" t="s">
        <v>43</v>
      </c>
      <c r="D439" s="44" t="s">
        <v>272</v>
      </c>
      <c r="E439" s="44">
        <v>35637</v>
      </c>
      <c r="F439" s="44"/>
      <c r="G439" s="44"/>
      <c r="H439" s="44">
        <v>4989</v>
      </c>
    </row>
    <row r="440" spans="1:8">
      <c r="A440" s="45">
        <v>2015</v>
      </c>
      <c r="B440" s="45" t="s">
        <v>105</v>
      </c>
      <c r="C440" s="45" t="s">
        <v>43</v>
      </c>
      <c r="D440" s="45" t="s">
        <v>273</v>
      </c>
      <c r="E440" s="45">
        <v>27101</v>
      </c>
      <c r="F440" s="45"/>
      <c r="G440" s="45"/>
      <c r="H440" s="45">
        <v>3794</v>
      </c>
    </row>
    <row r="441" spans="1:8">
      <c r="A441" s="44">
        <v>2015</v>
      </c>
      <c r="B441" s="44" t="s">
        <v>105</v>
      </c>
      <c r="C441" s="44" t="s">
        <v>43</v>
      </c>
      <c r="D441" s="44" t="s">
        <v>274</v>
      </c>
      <c r="E441" s="44">
        <v>22484</v>
      </c>
      <c r="F441" s="44"/>
      <c r="G441" s="44"/>
      <c r="H441" s="44">
        <v>3147</v>
      </c>
    </row>
    <row r="442" spans="1:8">
      <c r="A442" s="45">
        <v>2015</v>
      </c>
      <c r="B442" s="45" t="s">
        <v>105</v>
      </c>
      <c r="C442" s="45" t="s">
        <v>43</v>
      </c>
      <c r="D442" s="45" t="s">
        <v>275</v>
      </c>
      <c r="E442" s="45">
        <v>16284</v>
      </c>
      <c r="F442" s="45"/>
      <c r="G442" s="45"/>
      <c r="H442" s="45">
        <v>2279</v>
      </c>
    </row>
    <row r="443" spans="1:8">
      <c r="A443" s="44">
        <v>2015</v>
      </c>
      <c r="B443" s="44" t="s">
        <v>105</v>
      </c>
      <c r="C443" s="44" t="s">
        <v>43</v>
      </c>
      <c r="D443" s="44" t="s">
        <v>276</v>
      </c>
      <c r="E443" s="44">
        <v>13613</v>
      </c>
      <c r="F443" s="44"/>
      <c r="G443" s="44"/>
      <c r="H443" s="44">
        <v>1905</v>
      </c>
    </row>
    <row r="444" spans="1:8">
      <c r="A444" s="45">
        <v>2015</v>
      </c>
      <c r="B444" s="45" t="s">
        <v>105</v>
      </c>
      <c r="C444" s="45" t="s">
        <v>43</v>
      </c>
      <c r="D444" s="45" t="s">
        <v>277</v>
      </c>
      <c r="E444" s="45">
        <v>10838</v>
      </c>
      <c r="F444" s="45"/>
      <c r="G444" s="45"/>
      <c r="H444" s="45">
        <v>1517</v>
      </c>
    </row>
    <row r="445" spans="1:8">
      <c r="A445" s="44">
        <v>2015</v>
      </c>
      <c r="B445" s="44" t="s">
        <v>105</v>
      </c>
      <c r="C445" s="44" t="s">
        <v>43</v>
      </c>
      <c r="D445" s="44" t="s">
        <v>278</v>
      </c>
      <c r="E445" s="44">
        <v>7366</v>
      </c>
      <c r="F445" s="44"/>
      <c r="G445" s="44"/>
      <c r="H445" s="44">
        <v>1031</v>
      </c>
    </row>
    <row r="446" spans="1:8">
      <c r="A446" s="45">
        <v>2015</v>
      </c>
      <c r="B446" s="45" t="s">
        <v>105</v>
      </c>
      <c r="C446" s="45" t="s">
        <v>43</v>
      </c>
      <c r="D446" s="45" t="s">
        <v>279</v>
      </c>
      <c r="E446" s="45">
        <v>6657</v>
      </c>
      <c r="F446" s="45"/>
      <c r="G446" s="45"/>
      <c r="H446" s="45">
        <v>931</v>
      </c>
    </row>
    <row r="447" spans="1:8">
      <c r="A447" s="44">
        <v>2015</v>
      </c>
      <c r="B447" s="44" t="s">
        <v>105</v>
      </c>
      <c r="C447" s="44" t="s">
        <v>43</v>
      </c>
      <c r="D447" s="44" t="s">
        <v>280</v>
      </c>
      <c r="E447" s="44">
        <v>4304</v>
      </c>
      <c r="F447" s="44"/>
      <c r="G447" s="44"/>
      <c r="H447" s="44">
        <v>602</v>
      </c>
    </row>
    <row r="448" spans="1:8">
      <c r="A448" s="45">
        <v>2015</v>
      </c>
      <c r="B448" s="45" t="s">
        <v>105</v>
      </c>
      <c r="C448" s="45" t="s">
        <v>43</v>
      </c>
      <c r="D448" s="45" t="s">
        <v>281</v>
      </c>
      <c r="E448" s="45">
        <v>2700</v>
      </c>
      <c r="F448" s="45"/>
      <c r="G448" s="45"/>
      <c r="H448" s="45">
        <v>459</v>
      </c>
    </row>
    <row r="449" spans="1:8">
      <c r="A449" s="44">
        <v>2015</v>
      </c>
      <c r="B449" s="44" t="s">
        <v>105</v>
      </c>
      <c r="C449" s="44" t="s">
        <v>43</v>
      </c>
      <c r="D449" s="44" t="s">
        <v>285</v>
      </c>
      <c r="E449" s="44">
        <v>2528</v>
      </c>
      <c r="F449" s="44"/>
      <c r="G449" s="44"/>
      <c r="H449" s="44">
        <v>429</v>
      </c>
    </row>
    <row r="450" spans="1:8">
      <c r="A450" s="45">
        <v>2015</v>
      </c>
      <c r="B450" s="45" t="s">
        <v>106</v>
      </c>
      <c r="C450" s="45" t="s">
        <v>43</v>
      </c>
      <c r="D450" s="45" t="s">
        <v>267</v>
      </c>
      <c r="E450" s="45">
        <v>228540</v>
      </c>
      <c r="F450" s="45"/>
      <c r="G450" s="45"/>
      <c r="H450" s="45">
        <v>38851</v>
      </c>
    </row>
    <row r="451" spans="1:8">
      <c r="A451" s="44">
        <v>2015</v>
      </c>
      <c r="B451" s="44" t="s">
        <v>106</v>
      </c>
      <c r="C451" s="44" t="s">
        <v>43</v>
      </c>
      <c r="D451" s="44" t="s">
        <v>268</v>
      </c>
      <c r="E451" s="44">
        <v>184604</v>
      </c>
      <c r="F451" s="44"/>
      <c r="G451" s="44"/>
      <c r="H451" s="44">
        <v>25844</v>
      </c>
    </row>
    <row r="452" spans="1:8">
      <c r="A452" s="45">
        <v>2015</v>
      </c>
      <c r="B452" s="45" t="s">
        <v>106</v>
      </c>
      <c r="C452" s="45" t="s">
        <v>43</v>
      </c>
      <c r="D452" s="45" t="s">
        <v>269</v>
      </c>
      <c r="E452" s="45">
        <v>160144</v>
      </c>
      <c r="F452" s="45"/>
      <c r="G452" s="45"/>
      <c r="H452" s="45">
        <v>22420</v>
      </c>
    </row>
    <row r="453" spans="1:8">
      <c r="A453" s="44">
        <v>2015</v>
      </c>
      <c r="B453" s="44" t="s">
        <v>106</v>
      </c>
      <c r="C453" s="44" t="s">
        <v>43</v>
      </c>
      <c r="D453" s="44" t="s">
        <v>254</v>
      </c>
      <c r="E453" s="44">
        <v>156329</v>
      </c>
      <c r="F453" s="44"/>
      <c r="G453" s="44"/>
      <c r="H453" s="44">
        <v>21886</v>
      </c>
    </row>
    <row r="454" spans="1:8">
      <c r="A454" s="45">
        <v>2015</v>
      </c>
      <c r="B454" s="45" t="s">
        <v>106</v>
      </c>
      <c r="C454" s="45" t="s">
        <v>43</v>
      </c>
      <c r="D454" s="45" t="s">
        <v>270</v>
      </c>
      <c r="E454" s="45">
        <v>149405</v>
      </c>
      <c r="F454" s="45"/>
      <c r="G454" s="45"/>
      <c r="H454" s="45">
        <v>20916</v>
      </c>
    </row>
    <row r="455" spans="1:8">
      <c r="A455" s="44">
        <v>2015</v>
      </c>
      <c r="B455" s="44" t="s">
        <v>106</v>
      </c>
      <c r="C455" s="44" t="s">
        <v>43</v>
      </c>
      <c r="D455" s="44" t="s">
        <v>271</v>
      </c>
      <c r="E455" s="44">
        <v>139115</v>
      </c>
      <c r="F455" s="44"/>
      <c r="G455" s="44"/>
      <c r="H455" s="44">
        <v>19476</v>
      </c>
    </row>
    <row r="456" spans="1:8">
      <c r="A456" s="45">
        <v>2015</v>
      </c>
      <c r="B456" s="45" t="s">
        <v>106</v>
      </c>
      <c r="C456" s="45" t="s">
        <v>43</v>
      </c>
      <c r="D456" s="45" t="s">
        <v>272</v>
      </c>
      <c r="E456" s="45">
        <v>119793</v>
      </c>
      <c r="F456" s="45"/>
      <c r="G456" s="45"/>
      <c r="H456" s="45">
        <v>16771</v>
      </c>
    </row>
    <row r="457" spans="1:8">
      <c r="A457" s="44">
        <v>2015</v>
      </c>
      <c r="B457" s="44" t="s">
        <v>106</v>
      </c>
      <c r="C457" s="44" t="s">
        <v>43</v>
      </c>
      <c r="D457" s="44" t="s">
        <v>273</v>
      </c>
      <c r="E457" s="44">
        <v>85569</v>
      </c>
      <c r="F457" s="44"/>
      <c r="G457" s="44"/>
      <c r="H457" s="44">
        <v>11979</v>
      </c>
    </row>
    <row r="458" spans="1:8">
      <c r="A458" s="45">
        <v>2015</v>
      </c>
      <c r="B458" s="45" t="s">
        <v>106</v>
      </c>
      <c r="C458" s="45" t="s">
        <v>43</v>
      </c>
      <c r="D458" s="45" t="s">
        <v>274</v>
      </c>
      <c r="E458" s="45">
        <v>59067</v>
      </c>
      <c r="F458" s="45"/>
      <c r="G458" s="45"/>
      <c r="H458" s="45">
        <v>8269</v>
      </c>
    </row>
    <row r="459" spans="1:8">
      <c r="A459" s="44">
        <v>2015</v>
      </c>
      <c r="B459" s="44" t="s">
        <v>106</v>
      </c>
      <c r="C459" s="44" t="s">
        <v>43</v>
      </c>
      <c r="D459" s="44" t="s">
        <v>275</v>
      </c>
      <c r="E459" s="44">
        <v>35212</v>
      </c>
      <c r="F459" s="44"/>
      <c r="G459" s="44"/>
      <c r="H459" s="44">
        <v>4929</v>
      </c>
    </row>
    <row r="460" spans="1:8">
      <c r="A460" s="45">
        <v>2015</v>
      </c>
      <c r="B460" s="45" t="s">
        <v>106</v>
      </c>
      <c r="C460" s="45" t="s">
        <v>43</v>
      </c>
      <c r="D460" s="45" t="s">
        <v>276</v>
      </c>
      <c r="E460" s="45">
        <v>26980</v>
      </c>
      <c r="F460" s="45"/>
      <c r="G460" s="45"/>
      <c r="H460" s="45">
        <v>3777</v>
      </c>
    </row>
    <row r="461" spans="1:8">
      <c r="A461" s="44">
        <v>2015</v>
      </c>
      <c r="B461" s="44" t="s">
        <v>106</v>
      </c>
      <c r="C461" s="44" t="s">
        <v>43</v>
      </c>
      <c r="D461" s="44" t="s">
        <v>277</v>
      </c>
      <c r="E461" s="44">
        <v>19876</v>
      </c>
      <c r="F461" s="44"/>
      <c r="G461" s="44"/>
      <c r="H461" s="44">
        <v>2782</v>
      </c>
    </row>
    <row r="462" spans="1:8">
      <c r="A462" s="45">
        <v>2015</v>
      </c>
      <c r="B462" s="45" t="s">
        <v>106</v>
      </c>
      <c r="C462" s="45" t="s">
        <v>43</v>
      </c>
      <c r="D462" s="45" t="s">
        <v>278</v>
      </c>
      <c r="E462" s="45">
        <v>12508</v>
      </c>
      <c r="F462" s="45"/>
      <c r="G462" s="45"/>
      <c r="H462" s="45">
        <v>1751</v>
      </c>
    </row>
    <row r="463" spans="1:8">
      <c r="A463" s="44">
        <v>2015</v>
      </c>
      <c r="B463" s="44" t="s">
        <v>106</v>
      </c>
      <c r="C463" s="44" t="s">
        <v>43</v>
      </c>
      <c r="D463" s="44" t="s">
        <v>279</v>
      </c>
      <c r="E463" s="44">
        <v>9138</v>
      </c>
      <c r="F463" s="44"/>
      <c r="G463" s="44"/>
      <c r="H463" s="44">
        <v>1279</v>
      </c>
    </row>
    <row r="464" spans="1:8">
      <c r="A464" s="45">
        <v>2015</v>
      </c>
      <c r="B464" s="45" t="s">
        <v>106</v>
      </c>
      <c r="C464" s="45" t="s">
        <v>43</v>
      </c>
      <c r="D464" s="45" t="s">
        <v>280</v>
      </c>
      <c r="E464" s="45">
        <v>5773</v>
      </c>
      <c r="F464" s="45"/>
      <c r="G464" s="45"/>
      <c r="H464" s="45">
        <v>808</v>
      </c>
    </row>
    <row r="465" spans="1:8">
      <c r="A465" s="44">
        <v>2015</v>
      </c>
      <c r="B465" s="44" t="s">
        <v>106</v>
      </c>
      <c r="C465" s="44" t="s">
        <v>43</v>
      </c>
      <c r="D465" s="44" t="s">
        <v>281</v>
      </c>
      <c r="E465" s="44">
        <v>3947</v>
      </c>
      <c r="F465" s="44"/>
      <c r="G465" s="44"/>
      <c r="H465" s="44">
        <v>670</v>
      </c>
    </row>
    <row r="466" spans="1:8">
      <c r="A466" s="45">
        <v>2015</v>
      </c>
      <c r="B466" s="45" t="s">
        <v>106</v>
      </c>
      <c r="C466" s="45" t="s">
        <v>43</v>
      </c>
      <c r="D466" s="45" t="s">
        <v>285</v>
      </c>
      <c r="E466" s="45">
        <v>5215</v>
      </c>
      <c r="F466" s="45"/>
      <c r="G466" s="45"/>
      <c r="H466" s="45">
        <v>886</v>
      </c>
    </row>
    <row r="467" spans="1:8">
      <c r="A467" s="44">
        <v>2015</v>
      </c>
      <c r="B467" s="44" t="s">
        <v>107</v>
      </c>
      <c r="C467" s="44" t="s">
        <v>43</v>
      </c>
      <c r="D467" s="44" t="s">
        <v>267</v>
      </c>
      <c r="E467" s="44">
        <v>87197</v>
      </c>
      <c r="F467" s="44"/>
      <c r="G467" s="44"/>
      <c r="H467" s="44">
        <v>14823</v>
      </c>
    </row>
    <row r="468" spans="1:8">
      <c r="A468" s="45">
        <v>2015</v>
      </c>
      <c r="B468" s="45" t="s">
        <v>107</v>
      </c>
      <c r="C468" s="45" t="s">
        <v>43</v>
      </c>
      <c r="D468" s="45" t="s">
        <v>268</v>
      </c>
      <c r="E468" s="45">
        <v>68289</v>
      </c>
      <c r="F468" s="45"/>
      <c r="G468" s="45"/>
      <c r="H468" s="45">
        <v>9560</v>
      </c>
    </row>
    <row r="469" spans="1:8">
      <c r="A469" s="44">
        <v>2015</v>
      </c>
      <c r="B469" s="44" t="s">
        <v>107</v>
      </c>
      <c r="C469" s="44" t="s">
        <v>43</v>
      </c>
      <c r="D469" s="44" t="s">
        <v>269</v>
      </c>
      <c r="E469" s="44">
        <v>57158</v>
      </c>
      <c r="F469" s="44"/>
      <c r="G469" s="44"/>
      <c r="H469" s="44">
        <v>8002</v>
      </c>
    </row>
    <row r="470" spans="1:8">
      <c r="A470" s="45">
        <v>2015</v>
      </c>
      <c r="B470" s="45" t="s">
        <v>107</v>
      </c>
      <c r="C470" s="45" t="s">
        <v>43</v>
      </c>
      <c r="D470" s="45" t="s">
        <v>254</v>
      </c>
      <c r="E470" s="45">
        <v>50620</v>
      </c>
      <c r="F470" s="45"/>
      <c r="G470" s="45"/>
      <c r="H470" s="45">
        <v>7086</v>
      </c>
    </row>
    <row r="471" spans="1:8">
      <c r="A471" s="44">
        <v>2015</v>
      </c>
      <c r="B471" s="44" t="s">
        <v>107</v>
      </c>
      <c r="C471" s="44" t="s">
        <v>43</v>
      </c>
      <c r="D471" s="44" t="s">
        <v>270</v>
      </c>
      <c r="E471" s="44">
        <v>41661</v>
      </c>
      <c r="F471" s="44"/>
      <c r="G471" s="44"/>
      <c r="H471" s="44">
        <v>5832</v>
      </c>
    </row>
    <row r="472" spans="1:8">
      <c r="A472" s="45">
        <v>2015</v>
      </c>
      <c r="B472" s="45" t="s">
        <v>107</v>
      </c>
      <c r="C472" s="45" t="s">
        <v>43</v>
      </c>
      <c r="D472" s="45" t="s">
        <v>271</v>
      </c>
      <c r="E472" s="45">
        <v>33784</v>
      </c>
      <c r="F472" s="45"/>
      <c r="G472" s="45"/>
      <c r="H472" s="45">
        <v>4729</v>
      </c>
    </row>
    <row r="473" spans="1:8">
      <c r="A473" s="44">
        <v>2015</v>
      </c>
      <c r="B473" s="44" t="s">
        <v>107</v>
      </c>
      <c r="C473" s="44" t="s">
        <v>43</v>
      </c>
      <c r="D473" s="44" t="s">
        <v>272</v>
      </c>
      <c r="E473" s="44">
        <v>28312</v>
      </c>
      <c r="F473" s="44"/>
      <c r="G473" s="44"/>
      <c r="H473" s="44">
        <v>3963</v>
      </c>
    </row>
    <row r="474" spans="1:8">
      <c r="A474" s="45">
        <v>2015</v>
      </c>
      <c r="B474" s="45" t="s">
        <v>107</v>
      </c>
      <c r="C474" s="45" t="s">
        <v>43</v>
      </c>
      <c r="D474" s="45" t="s">
        <v>273</v>
      </c>
      <c r="E474" s="45">
        <v>20200</v>
      </c>
      <c r="F474" s="45"/>
      <c r="G474" s="45"/>
      <c r="H474" s="45">
        <v>2828</v>
      </c>
    </row>
    <row r="475" spans="1:8">
      <c r="A475" s="44">
        <v>2015</v>
      </c>
      <c r="B475" s="44" t="s">
        <v>107</v>
      </c>
      <c r="C475" s="44" t="s">
        <v>43</v>
      </c>
      <c r="D475" s="44" t="s">
        <v>274</v>
      </c>
      <c r="E475" s="44">
        <v>17232</v>
      </c>
      <c r="F475" s="44"/>
      <c r="G475" s="44"/>
      <c r="H475" s="44">
        <v>2412</v>
      </c>
    </row>
    <row r="476" spans="1:8">
      <c r="A476" s="45">
        <v>2015</v>
      </c>
      <c r="B476" s="45" t="s">
        <v>107</v>
      </c>
      <c r="C476" s="45" t="s">
        <v>43</v>
      </c>
      <c r="D476" s="45" t="s">
        <v>275</v>
      </c>
      <c r="E476" s="45">
        <v>12127</v>
      </c>
      <c r="F476" s="45"/>
      <c r="G476" s="45"/>
      <c r="H476" s="45">
        <v>1697</v>
      </c>
    </row>
    <row r="477" spans="1:8">
      <c r="A477" s="44">
        <v>2015</v>
      </c>
      <c r="B477" s="44" t="s">
        <v>107</v>
      </c>
      <c r="C477" s="44" t="s">
        <v>43</v>
      </c>
      <c r="D477" s="44" t="s">
        <v>276</v>
      </c>
      <c r="E477" s="44">
        <v>10408</v>
      </c>
      <c r="F477" s="44"/>
      <c r="G477" s="44"/>
      <c r="H477" s="44">
        <v>1457</v>
      </c>
    </row>
    <row r="478" spans="1:8">
      <c r="A478" s="45">
        <v>2015</v>
      </c>
      <c r="B478" s="45" t="s">
        <v>107</v>
      </c>
      <c r="C478" s="45" t="s">
        <v>43</v>
      </c>
      <c r="D478" s="45" t="s">
        <v>277</v>
      </c>
      <c r="E478" s="45">
        <v>7708</v>
      </c>
      <c r="F478" s="45"/>
      <c r="G478" s="45"/>
      <c r="H478" s="45">
        <v>1079</v>
      </c>
    </row>
    <row r="479" spans="1:8">
      <c r="A479" s="44">
        <v>2015</v>
      </c>
      <c r="B479" s="44" t="s">
        <v>107</v>
      </c>
      <c r="C479" s="44" t="s">
        <v>43</v>
      </c>
      <c r="D479" s="44" t="s">
        <v>278</v>
      </c>
      <c r="E479" s="44">
        <v>5255</v>
      </c>
      <c r="F479" s="44"/>
      <c r="G479" s="44"/>
      <c r="H479" s="44">
        <v>735</v>
      </c>
    </row>
    <row r="480" spans="1:8">
      <c r="A480" s="45">
        <v>2015</v>
      </c>
      <c r="B480" s="45" t="s">
        <v>107</v>
      </c>
      <c r="C480" s="45" t="s">
        <v>43</v>
      </c>
      <c r="D480" s="45" t="s">
        <v>279</v>
      </c>
      <c r="E480" s="45">
        <v>5504</v>
      </c>
      <c r="F480" s="45"/>
      <c r="G480" s="45"/>
      <c r="H480" s="45">
        <v>770</v>
      </c>
    </row>
    <row r="481" spans="1:8">
      <c r="A481" s="44">
        <v>2015</v>
      </c>
      <c r="B481" s="44" t="s">
        <v>107</v>
      </c>
      <c r="C481" s="44" t="s">
        <v>43</v>
      </c>
      <c r="D481" s="44" t="s">
        <v>280</v>
      </c>
      <c r="E481" s="44">
        <v>4003</v>
      </c>
      <c r="F481" s="44"/>
      <c r="G481" s="44"/>
      <c r="H481" s="44">
        <v>560</v>
      </c>
    </row>
    <row r="482" spans="1:8">
      <c r="A482" s="45">
        <v>2015</v>
      </c>
      <c r="B482" s="45" t="s">
        <v>107</v>
      </c>
      <c r="C482" s="45" t="s">
        <v>43</v>
      </c>
      <c r="D482" s="45" t="s">
        <v>281</v>
      </c>
      <c r="E482" s="45">
        <v>2875</v>
      </c>
      <c r="F482" s="45"/>
      <c r="G482" s="45"/>
      <c r="H482" s="45">
        <v>488</v>
      </c>
    </row>
    <row r="483" spans="1:8">
      <c r="A483" s="44">
        <v>2015</v>
      </c>
      <c r="B483" s="44" t="s">
        <v>107</v>
      </c>
      <c r="C483" s="44" t="s">
        <v>43</v>
      </c>
      <c r="D483" s="44" t="s">
        <v>285</v>
      </c>
      <c r="E483" s="44">
        <v>3165</v>
      </c>
      <c r="F483" s="44"/>
      <c r="G483" s="44"/>
      <c r="H483" s="44">
        <v>538</v>
      </c>
    </row>
    <row r="484" spans="1:8">
      <c r="A484" s="45">
        <v>2015</v>
      </c>
      <c r="B484" s="45" t="s">
        <v>109</v>
      </c>
      <c r="C484" s="45" t="s">
        <v>43</v>
      </c>
      <c r="D484" s="45" t="s">
        <v>267</v>
      </c>
      <c r="E484" s="45">
        <v>126969</v>
      </c>
      <c r="F484" s="45"/>
      <c r="G484" s="45"/>
      <c r="H484" s="45">
        <v>21584</v>
      </c>
    </row>
    <row r="485" spans="1:8">
      <c r="A485" s="44">
        <v>2015</v>
      </c>
      <c r="B485" s="44" t="s">
        <v>109</v>
      </c>
      <c r="C485" s="44" t="s">
        <v>43</v>
      </c>
      <c r="D485" s="44" t="s">
        <v>268</v>
      </c>
      <c r="E485" s="44">
        <v>105544</v>
      </c>
      <c r="F485" s="44"/>
      <c r="G485" s="44"/>
      <c r="H485" s="44">
        <v>14776</v>
      </c>
    </row>
    <row r="486" spans="1:8">
      <c r="A486" s="45">
        <v>2015</v>
      </c>
      <c r="B486" s="45" t="s">
        <v>109</v>
      </c>
      <c r="C486" s="45" t="s">
        <v>43</v>
      </c>
      <c r="D486" s="45" t="s">
        <v>269</v>
      </c>
      <c r="E486" s="45">
        <v>83709</v>
      </c>
      <c r="F486" s="45"/>
      <c r="G486" s="45"/>
      <c r="H486" s="45">
        <v>11719</v>
      </c>
    </row>
    <row r="487" spans="1:8">
      <c r="A487" s="44">
        <v>2015</v>
      </c>
      <c r="B487" s="44" t="s">
        <v>109</v>
      </c>
      <c r="C487" s="44" t="s">
        <v>43</v>
      </c>
      <c r="D487" s="44" t="s">
        <v>254</v>
      </c>
      <c r="E487" s="44">
        <v>71220</v>
      </c>
      <c r="F487" s="44"/>
      <c r="G487" s="44"/>
      <c r="H487" s="44">
        <v>9970</v>
      </c>
    </row>
    <row r="488" spans="1:8">
      <c r="A488" s="45">
        <v>2015</v>
      </c>
      <c r="B488" s="45" t="s">
        <v>109</v>
      </c>
      <c r="C488" s="45" t="s">
        <v>43</v>
      </c>
      <c r="D488" s="45" t="s">
        <v>270</v>
      </c>
      <c r="E488" s="45">
        <v>57918</v>
      </c>
      <c r="F488" s="45"/>
      <c r="G488" s="45"/>
      <c r="H488" s="45">
        <v>8108</v>
      </c>
    </row>
    <row r="489" spans="1:8">
      <c r="A489" s="44">
        <v>2015</v>
      </c>
      <c r="B489" s="44" t="s">
        <v>109</v>
      </c>
      <c r="C489" s="44" t="s">
        <v>43</v>
      </c>
      <c r="D489" s="44" t="s">
        <v>271</v>
      </c>
      <c r="E489" s="44">
        <v>46562</v>
      </c>
      <c r="F489" s="44"/>
      <c r="G489" s="44"/>
      <c r="H489" s="44">
        <v>6518</v>
      </c>
    </row>
    <row r="490" spans="1:8">
      <c r="A490" s="45">
        <v>2015</v>
      </c>
      <c r="B490" s="45" t="s">
        <v>109</v>
      </c>
      <c r="C490" s="45" t="s">
        <v>43</v>
      </c>
      <c r="D490" s="45" t="s">
        <v>272</v>
      </c>
      <c r="E490" s="45">
        <v>40520</v>
      </c>
      <c r="F490" s="45"/>
      <c r="G490" s="45"/>
      <c r="H490" s="45">
        <v>5672</v>
      </c>
    </row>
    <row r="491" spans="1:8">
      <c r="A491" s="44">
        <v>2015</v>
      </c>
      <c r="B491" s="44" t="s">
        <v>109</v>
      </c>
      <c r="C491" s="44" t="s">
        <v>43</v>
      </c>
      <c r="D491" s="44" t="s">
        <v>273</v>
      </c>
      <c r="E491" s="44">
        <v>28547</v>
      </c>
      <c r="F491" s="44"/>
      <c r="G491" s="44"/>
      <c r="H491" s="44">
        <v>3996</v>
      </c>
    </row>
    <row r="492" spans="1:8">
      <c r="A492" s="45">
        <v>2015</v>
      </c>
      <c r="B492" s="45" t="s">
        <v>109</v>
      </c>
      <c r="C492" s="45" t="s">
        <v>43</v>
      </c>
      <c r="D492" s="45" t="s">
        <v>274</v>
      </c>
      <c r="E492" s="45">
        <v>25067</v>
      </c>
      <c r="F492" s="45"/>
      <c r="G492" s="45"/>
      <c r="H492" s="45">
        <v>3509</v>
      </c>
    </row>
    <row r="493" spans="1:8">
      <c r="A493" s="44">
        <v>2015</v>
      </c>
      <c r="B493" s="44" t="s">
        <v>109</v>
      </c>
      <c r="C493" s="44" t="s">
        <v>43</v>
      </c>
      <c r="D493" s="44" t="s">
        <v>275</v>
      </c>
      <c r="E493" s="44">
        <v>17403</v>
      </c>
      <c r="F493" s="44"/>
      <c r="G493" s="44"/>
      <c r="H493" s="44">
        <v>2436</v>
      </c>
    </row>
    <row r="494" spans="1:8">
      <c r="A494" s="45">
        <v>2015</v>
      </c>
      <c r="B494" s="45" t="s">
        <v>109</v>
      </c>
      <c r="C494" s="45" t="s">
        <v>43</v>
      </c>
      <c r="D494" s="45" t="s">
        <v>276</v>
      </c>
      <c r="E494" s="45">
        <v>15474</v>
      </c>
      <c r="F494" s="45"/>
      <c r="G494" s="45"/>
      <c r="H494" s="45">
        <v>2166</v>
      </c>
    </row>
    <row r="495" spans="1:8">
      <c r="A495" s="44">
        <v>2015</v>
      </c>
      <c r="B495" s="44" t="s">
        <v>109</v>
      </c>
      <c r="C495" s="44" t="s">
        <v>43</v>
      </c>
      <c r="D495" s="44" t="s">
        <v>277</v>
      </c>
      <c r="E495" s="44">
        <v>11330</v>
      </c>
      <c r="F495" s="44"/>
      <c r="G495" s="44"/>
      <c r="H495" s="44">
        <v>1586</v>
      </c>
    </row>
    <row r="496" spans="1:8">
      <c r="A496" s="45">
        <v>2015</v>
      </c>
      <c r="B496" s="45" t="s">
        <v>109</v>
      </c>
      <c r="C496" s="45" t="s">
        <v>43</v>
      </c>
      <c r="D496" s="45" t="s">
        <v>278</v>
      </c>
      <c r="E496" s="45">
        <v>7709</v>
      </c>
      <c r="F496" s="45"/>
      <c r="G496" s="45"/>
      <c r="H496" s="45">
        <v>1079</v>
      </c>
    </row>
    <row r="497" spans="1:8">
      <c r="A497" s="44">
        <v>2015</v>
      </c>
      <c r="B497" s="44" t="s">
        <v>109</v>
      </c>
      <c r="C497" s="44" t="s">
        <v>43</v>
      </c>
      <c r="D497" s="44" t="s">
        <v>279</v>
      </c>
      <c r="E497" s="44">
        <v>7398</v>
      </c>
      <c r="F497" s="44"/>
      <c r="G497" s="44"/>
      <c r="H497" s="44">
        <v>1035</v>
      </c>
    </row>
    <row r="498" spans="1:8">
      <c r="A498" s="45">
        <v>2015</v>
      </c>
      <c r="B498" s="45" t="s">
        <v>109</v>
      </c>
      <c r="C498" s="45" t="s">
        <v>43</v>
      </c>
      <c r="D498" s="45" t="s">
        <v>280</v>
      </c>
      <c r="E498" s="45">
        <v>5444</v>
      </c>
      <c r="F498" s="45"/>
      <c r="G498" s="45"/>
      <c r="H498" s="45">
        <v>762</v>
      </c>
    </row>
    <row r="499" spans="1:8">
      <c r="A499" s="44">
        <v>2015</v>
      </c>
      <c r="B499" s="44" t="s">
        <v>109</v>
      </c>
      <c r="C499" s="44" t="s">
        <v>43</v>
      </c>
      <c r="D499" s="44" t="s">
        <v>281</v>
      </c>
      <c r="E499" s="44">
        <v>3502</v>
      </c>
      <c r="F499" s="44"/>
      <c r="G499" s="44"/>
      <c r="H499" s="44">
        <v>595</v>
      </c>
    </row>
    <row r="500" spans="1:8">
      <c r="A500" s="45">
        <v>2015</v>
      </c>
      <c r="B500" s="45" t="s">
        <v>109</v>
      </c>
      <c r="C500" s="45" t="s">
        <v>43</v>
      </c>
      <c r="D500" s="45" t="s">
        <v>285</v>
      </c>
      <c r="E500" s="45">
        <v>3136</v>
      </c>
      <c r="F500" s="45"/>
      <c r="G500" s="45"/>
      <c r="H500" s="45">
        <v>533</v>
      </c>
    </row>
    <row r="501" spans="1:8">
      <c r="A501" s="44">
        <v>2015</v>
      </c>
      <c r="B501" s="44" t="s">
        <v>108</v>
      </c>
      <c r="C501" s="44" t="s">
        <v>43</v>
      </c>
      <c r="D501" s="44" t="s">
        <v>267</v>
      </c>
      <c r="E501" s="44">
        <v>81784</v>
      </c>
      <c r="F501" s="44"/>
      <c r="G501" s="44"/>
      <c r="H501" s="44">
        <v>13903</v>
      </c>
    </row>
    <row r="502" spans="1:8">
      <c r="A502" s="45">
        <v>2015</v>
      </c>
      <c r="B502" s="45" t="s">
        <v>108</v>
      </c>
      <c r="C502" s="45" t="s">
        <v>43</v>
      </c>
      <c r="D502" s="45" t="s">
        <v>268</v>
      </c>
      <c r="E502" s="45">
        <v>69526</v>
      </c>
      <c r="F502" s="45"/>
      <c r="G502" s="45"/>
      <c r="H502" s="45">
        <v>9733</v>
      </c>
    </row>
    <row r="503" spans="1:8">
      <c r="A503" s="44">
        <v>2015</v>
      </c>
      <c r="B503" s="44" t="s">
        <v>108</v>
      </c>
      <c r="C503" s="44" t="s">
        <v>43</v>
      </c>
      <c r="D503" s="44" t="s">
        <v>269</v>
      </c>
      <c r="E503" s="44">
        <v>52101</v>
      </c>
      <c r="F503" s="44"/>
      <c r="G503" s="44"/>
      <c r="H503" s="44">
        <v>7294</v>
      </c>
    </row>
    <row r="504" spans="1:8">
      <c r="A504" s="45">
        <v>2015</v>
      </c>
      <c r="B504" s="45" t="s">
        <v>108</v>
      </c>
      <c r="C504" s="45" t="s">
        <v>43</v>
      </c>
      <c r="D504" s="45" t="s">
        <v>254</v>
      </c>
      <c r="E504" s="45">
        <v>46862</v>
      </c>
      <c r="F504" s="45"/>
      <c r="G504" s="45"/>
      <c r="H504" s="45">
        <v>6560</v>
      </c>
    </row>
    <row r="505" spans="1:8">
      <c r="A505" s="44">
        <v>2015</v>
      </c>
      <c r="B505" s="44" t="s">
        <v>108</v>
      </c>
      <c r="C505" s="44" t="s">
        <v>43</v>
      </c>
      <c r="D505" s="44" t="s">
        <v>270</v>
      </c>
      <c r="E505" s="44">
        <v>38353</v>
      </c>
      <c r="F505" s="44"/>
      <c r="G505" s="44"/>
      <c r="H505" s="44">
        <v>5369</v>
      </c>
    </row>
    <row r="506" spans="1:8">
      <c r="A506" s="45">
        <v>2015</v>
      </c>
      <c r="B506" s="45" t="s">
        <v>108</v>
      </c>
      <c r="C506" s="45" t="s">
        <v>43</v>
      </c>
      <c r="D506" s="45" t="s">
        <v>271</v>
      </c>
      <c r="E506" s="45">
        <v>28664</v>
      </c>
      <c r="F506" s="45"/>
      <c r="G506" s="45"/>
      <c r="H506" s="45">
        <v>4012</v>
      </c>
    </row>
    <row r="507" spans="1:8">
      <c r="A507" s="44">
        <v>2015</v>
      </c>
      <c r="B507" s="44" t="s">
        <v>108</v>
      </c>
      <c r="C507" s="44" t="s">
        <v>43</v>
      </c>
      <c r="D507" s="44" t="s">
        <v>272</v>
      </c>
      <c r="E507" s="44">
        <v>25586</v>
      </c>
      <c r="F507" s="44"/>
      <c r="G507" s="44"/>
      <c r="H507" s="44">
        <v>3582</v>
      </c>
    </row>
    <row r="508" spans="1:8">
      <c r="A508" s="45">
        <v>2015</v>
      </c>
      <c r="B508" s="45" t="s">
        <v>108</v>
      </c>
      <c r="C508" s="45" t="s">
        <v>43</v>
      </c>
      <c r="D508" s="45" t="s">
        <v>273</v>
      </c>
      <c r="E508" s="45">
        <v>18566</v>
      </c>
      <c r="F508" s="45"/>
      <c r="G508" s="45"/>
      <c r="H508" s="45">
        <v>2599</v>
      </c>
    </row>
    <row r="509" spans="1:8">
      <c r="A509" s="44">
        <v>2015</v>
      </c>
      <c r="B509" s="44" t="s">
        <v>108</v>
      </c>
      <c r="C509" s="44" t="s">
        <v>43</v>
      </c>
      <c r="D509" s="44" t="s">
        <v>274</v>
      </c>
      <c r="E509" s="44">
        <v>15114</v>
      </c>
      <c r="F509" s="44"/>
      <c r="G509" s="44"/>
      <c r="H509" s="44">
        <v>2115</v>
      </c>
    </row>
    <row r="510" spans="1:8">
      <c r="A510" s="45">
        <v>2015</v>
      </c>
      <c r="B510" s="45" t="s">
        <v>108</v>
      </c>
      <c r="C510" s="45" t="s">
        <v>43</v>
      </c>
      <c r="D510" s="45" t="s">
        <v>275</v>
      </c>
      <c r="E510" s="45">
        <v>10938</v>
      </c>
      <c r="F510" s="45"/>
      <c r="G510" s="45"/>
      <c r="H510" s="45">
        <v>1531</v>
      </c>
    </row>
    <row r="511" spans="1:8">
      <c r="A511" s="44">
        <v>2015</v>
      </c>
      <c r="B511" s="44" t="s">
        <v>108</v>
      </c>
      <c r="C511" s="44" t="s">
        <v>43</v>
      </c>
      <c r="D511" s="44" t="s">
        <v>276</v>
      </c>
      <c r="E511" s="44">
        <v>8544</v>
      </c>
      <c r="F511" s="44"/>
      <c r="G511" s="44"/>
      <c r="H511" s="44">
        <v>1196</v>
      </c>
    </row>
    <row r="512" spans="1:8">
      <c r="A512" s="45">
        <v>2015</v>
      </c>
      <c r="B512" s="45" t="s">
        <v>108</v>
      </c>
      <c r="C512" s="45" t="s">
        <v>43</v>
      </c>
      <c r="D512" s="45" t="s">
        <v>277</v>
      </c>
      <c r="E512" s="45">
        <v>6269</v>
      </c>
      <c r="F512" s="45"/>
      <c r="G512" s="45"/>
      <c r="H512" s="45">
        <v>877</v>
      </c>
    </row>
    <row r="513" spans="1:8">
      <c r="A513" s="44">
        <v>2015</v>
      </c>
      <c r="B513" s="44" t="s">
        <v>108</v>
      </c>
      <c r="C513" s="44" t="s">
        <v>43</v>
      </c>
      <c r="D513" s="44" t="s">
        <v>278</v>
      </c>
      <c r="E513" s="44">
        <v>4216</v>
      </c>
      <c r="F513" s="44"/>
      <c r="G513" s="44"/>
      <c r="H513" s="44">
        <v>590</v>
      </c>
    </row>
    <row r="514" spans="1:8">
      <c r="A514" s="45">
        <v>2015</v>
      </c>
      <c r="B514" s="45" t="s">
        <v>108</v>
      </c>
      <c r="C514" s="45" t="s">
        <v>43</v>
      </c>
      <c r="D514" s="45" t="s">
        <v>279</v>
      </c>
      <c r="E514" s="45">
        <v>4061</v>
      </c>
      <c r="F514" s="45"/>
      <c r="G514" s="45"/>
      <c r="H514" s="45">
        <v>568</v>
      </c>
    </row>
    <row r="515" spans="1:8">
      <c r="A515" s="44">
        <v>2015</v>
      </c>
      <c r="B515" s="44" t="s">
        <v>108</v>
      </c>
      <c r="C515" s="44" t="s">
        <v>43</v>
      </c>
      <c r="D515" s="44" t="s">
        <v>280</v>
      </c>
      <c r="E515" s="44">
        <v>3006</v>
      </c>
      <c r="F515" s="44"/>
      <c r="G515" s="44"/>
      <c r="H515" s="44">
        <v>420</v>
      </c>
    </row>
    <row r="516" spans="1:8">
      <c r="A516" s="45">
        <v>2015</v>
      </c>
      <c r="B516" s="45" t="s">
        <v>108</v>
      </c>
      <c r="C516" s="45" t="s">
        <v>43</v>
      </c>
      <c r="D516" s="45" t="s">
        <v>281</v>
      </c>
      <c r="E516" s="45">
        <v>2152</v>
      </c>
      <c r="F516" s="45"/>
      <c r="G516" s="45"/>
      <c r="H516" s="45">
        <v>365</v>
      </c>
    </row>
    <row r="517" spans="1:8">
      <c r="A517" s="44">
        <v>2015</v>
      </c>
      <c r="B517" s="44" t="s">
        <v>108</v>
      </c>
      <c r="C517" s="44" t="s">
        <v>43</v>
      </c>
      <c r="D517" s="44" t="s">
        <v>285</v>
      </c>
      <c r="E517" s="44">
        <v>2835</v>
      </c>
      <c r="F517" s="44"/>
      <c r="G517" s="44"/>
      <c r="H517" s="44">
        <v>481</v>
      </c>
    </row>
    <row r="518" spans="1:8">
      <c r="A518" s="45">
        <v>2015</v>
      </c>
      <c r="B518" s="45" t="s">
        <v>110</v>
      </c>
      <c r="C518" s="45" t="s">
        <v>43</v>
      </c>
      <c r="D518" s="45" t="s">
        <v>267</v>
      </c>
      <c r="E518" s="45">
        <v>173780</v>
      </c>
      <c r="F518" s="45"/>
      <c r="G518" s="45"/>
      <c r="H518" s="45">
        <v>29542</v>
      </c>
    </row>
    <row r="519" spans="1:8">
      <c r="A519" s="44">
        <v>2015</v>
      </c>
      <c r="B519" s="44" t="s">
        <v>110</v>
      </c>
      <c r="C519" s="44" t="s">
        <v>43</v>
      </c>
      <c r="D519" s="44" t="s">
        <v>268</v>
      </c>
      <c r="E519" s="44">
        <v>146960</v>
      </c>
      <c r="F519" s="44"/>
      <c r="G519" s="44"/>
      <c r="H519" s="44">
        <v>20574</v>
      </c>
    </row>
    <row r="520" spans="1:8">
      <c r="A520" s="45">
        <v>2015</v>
      </c>
      <c r="B520" s="45" t="s">
        <v>110</v>
      </c>
      <c r="C520" s="45" t="s">
        <v>43</v>
      </c>
      <c r="D520" s="45" t="s">
        <v>269</v>
      </c>
      <c r="E520" s="45">
        <v>116133</v>
      </c>
      <c r="F520" s="45"/>
      <c r="G520" s="45"/>
      <c r="H520" s="45">
        <v>16258</v>
      </c>
    </row>
    <row r="521" spans="1:8">
      <c r="A521" s="44">
        <v>2015</v>
      </c>
      <c r="B521" s="44" t="s">
        <v>110</v>
      </c>
      <c r="C521" s="44" t="s">
        <v>43</v>
      </c>
      <c r="D521" s="44" t="s">
        <v>254</v>
      </c>
      <c r="E521" s="44">
        <v>104719</v>
      </c>
      <c r="F521" s="44"/>
      <c r="G521" s="44"/>
      <c r="H521" s="44">
        <v>14660</v>
      </c>
    </row>
    <row r="522" spans="1:8">
      <c r="A522" s="45">
        <v>2015</v>
      </c>
      <c r="B522" s="45" t="s">
        <v>110</v>
      </c>
      <c r="C522" s="45" t="s">
        <v>43</v>
      </c>
      <c r="D522" s="45" t="s">
        <v>270</v>
      </c>
      <c r="E522" s="45">
        <v>89854</v>
      </c>
      <c r="F522" s="45"/>
      <c r="G522" s="45"/>
      <c r="H522" s="45">
        <v>12579</v>
      </c>
    </row>
    <row r="523" spans="1:8">
      <c r="A523" s="44">
        <v>2015</v>
      </c>
      <c r="B523" s="44" t="s">
        <v>110</v>
      </c>
      <c r="C523" s="44" t="s">
        <v>43</v>
      </c>
      <c r="D523" s="44" t="s">
        <v>271</v>
      </c>
      <c r="E523" s="44">
        <v>70390</v>
      </c>
      <c r="F523" s="44"/>
      <c r="G523" s="44"/>
      <c r="H523" s="44">
        <v>9854</v>
      </c>
    </row>
    <row r="524" spans="1:8">
      <c r="A524" s="45">
        <v>2015</v>
      </c>
      <c r="B524" s="45" t="s">
        <v>110</v>
      </c>
      <c r="C524" s="45" t="s">
        <v>43</v>
      </c>
      <c r="D524" s="45" t="s">
        <v>272</v>
      </c>
      <c r="E524" s="45">
        <v>59546</v>
      </c>
      <c r="F524" s="45"/>
      <c r="G524" s="45"/>
      <c r="H524" s="45">
        <v>8336</v>
      </c>
    </row>
    <row r="525" spans="1:8">
      <c r="A525" s="44">
        <v>2015</v>
      </c>
      <c r="B525" s="44" t="s">
        <v>110</v>
      </c>
      <c r="C525" s="44" t="s">
        <v>43</v>
      </c>
      <c r="D525" s="44" t="s">
        <v>273</v>
      </c>
      <c r="E525" s="44">
        <v>46013</v>
      </c>
      <c r="F525" s="44"/>
      <c r="G525" s="44"/>
      <c r="H525" s="44">
        <v>6441</v>
      </c>
    </row>
    <row r="526" spans="1:8">
      <c r="A526" s="45">
        <v>2015</v>
      </c>
      <c r="B526" s="45" t="s">
        <v>110</v>
      </c>
      <c r="C526" s="45" t="s">
        <v>43</v>
      </c>
      <c r="D526" s="45" t="s">
        <v>274</v>
      </c>
      <c r="E526" s="45">
        <v>34801</v>
      </c>
      <c r="F526" s="45"/>
      <c r="G526" s="45"/>
      <c r="H526" s="45">
        <v>4872</v>
      </c>
    </row>
    <row r="527" spans="1:8">
      <c r="A527" s="44">
        <v>2015</v>
      </c>
      <c r="B527" s="44" t="s">
        <v>110</v>
      </c>
      <c r="C527" s="44" t="s">
        <v>43</v>
      </c>
      <c r="D527" s="44" t="s">
        <v>275</v>
      </c>
      <c r="E527" s="44">
        <v>24341</v>
      </c>
      <c r="F527" s="44"/>
      <c r="G527" s="44"/>
      <c r="H527" s="44">
        <v>3407</v>
      </c>
    </row>
    <row r="528" spans="1:8">
      <c r="A528" s="45">
        <v>2015</v>
      </c>
      <c r="B528" s="45" t="s">
        <v>110</v>
      </c>
      <c r="C528" s="45" t="s">
        <v>43</v>
      </c>
      <c r="D528" s="45" t="s">
        <v>276</v>
      </c>
      <c r="E528" s="45">
        <v>19533</v>
      </c>
      <c r="F528" s="45"/>
      <c r="G528" s="45"/>
      <c r="H528" s="45">
        <v>2734</v>
      </c>
    </row>
    <row r="529" spans="1:8">
      <c r="A529" s="44">
        <v>2015</v>
      </c>
      <c r="B529" s="44" t="s">
        <v>110</v>
      </c>
      <c r="C529" s="44" t="s">
        <v>43</v>
      </c>
      <c r="D529" s="44" t="s">
        <v>277</v>
      </c>
      <c r="E529" s="44">
        <v>15004</v>
      </c>
      <c r="F529" s="44"/>
      <c r="G529" s="44"/>
      <c r="H529" s="44">
        <v>2100</v>
      </c>
    </row>
    <row r="530" spans="1:8">
      <c r="A530" s="45">
        <v>2015</v>
      </c>
      <c r="B530" s="45" t="s">
        <v>110</v>
      </c>
      <c r="C530" s="45" t="s">
        <v>43</v>
      </c>
      <c r="D530" s="45" t="s">
        <v>278</v>
      </c>
      <c r="E530" s="45">
        <v>9267</v>
      </c>
      <c r="F530" s="45"/>
      <c r="G530" s="45"/>
      <c r="H530" s="45">
        <v>1297</v>
      </c>
    </row>
    <row r="531" spans="1:8">
      <c r="A531" s="44">
        <v>2015</v>
      </c>
      <c r="B531" s="44" t="s">
        <v>110</v>
      </c>
      <c r="C531" s="44" t="s">
        <v>43</v>
      </c>
      <c r="D531" s="44" t="s">
        <v>279</v>
      </c>
      <c r="E531" s="44">
        <v>8774</v>
      </c>
      <c r="F531" s="44"/>
      <c r="G531" s="44"/>
      <c r="H531" s="44">
        <v>1228</v>
      </c>
    </row>
    <row r="532" spans="1:8">
      <c r="A532" s="45">
        <v>2015</v>
      </c>
      <c r="B532" s="45" t="s">
        <v>110</v>
      </c>
      <c r="C532" s="45" t="s">
        <v>43</v>
      </c>
      <c r="D532" s="45" t="s">
        <v>280</v>
      </c>
      <c r="E532" s="45">
        <v>6972</v>
      </c>
      <c r="F532" s="45"/>
      <c r="G532" s="45"/>
      <c r="H532" s="45">
        <v>976</v>
      </c>
    </row>
    <row r="533" spans="1:8">
      <c r="A533" s="44">
        <v>2015</v>
      </c>
      <c r="B533" s="44" t="s">
        <v>110</v>
      </c>
      <c r="C533" s="44" t="s">
        <v>43</v>
      </c>
      <c r="D533" s="44" t="s">
        <v>281</v>
      </c>
      <c r="E533" s="44">
        <v>5247</v>
      </c>
      <c r="F533" s="44"/>
      <c r="G533" s="44"/>
      <c r="H533" s="44">
        <v>891</v>
      </c>
    </row>
    <row r="534" spans="1:8">
      <c r="A534" s="45">
        <v>2015</v>
      </c>
      <c r="B534" s="45" t="s">
        <v>110</v>
      </c>
      <c r="C534" s="45" t="s">
        <v>43</v>
      </c>
      <c r="D534" s="45" t="s">
        <v>285</v>
      </c>
      <c r="E534" s="45">
        <v>6643</v>
      </c>
      <c r="F534" s="45"/>
      <c r="G534" s="45"/>
      <c r="H534" s="45">
        <v>1129</v>
      </c>
    </row>
    <row r="535" spans="1:8">
      <c r="A535" s="44">
        <v>2015</v>
      </c>
      <c r="B535" s="44" t="s">
        <v>111</v>
      </c>
      <c r="C535" s="44" t="s">
        <v>43</v>
      </c>
      <c r="D535" s="44" t="s">
        <v>267</v>
      </c>
      <c r="E535" s="44">
        <v>89110</v>
      </c>
      <c r="F535" s="44"/>
      <c r="G535" s="44"/>
      <c r="H535" s="44">
        <v>15148</v>
      </c>
    </row>
    <row r="536" spans="1:8">
      <c r="A536" s="45">
        <v>2015</v>
      </c>
      <c r="B536" s="45" t="s">
        <v>111</v>
      </c>
      <c r="C536" s="45" t="s">
        <v>43</v>
      </c>
      <c r="D536" s="45" t="s">
        <v>268</v>
      </c>
      <c r="E536" s="45">
        <v>80739</v>
      </c>
      <c r="F536" s="45"/>
      <c r="G536" s="45"/>
      <c r="H536" s="45">
        <v>11303</v>
      </c>
    </row>
    <row r="537" spans="1:8">
      <c r="A537" s="44">
        <v>2015</v>
      </c>
      <c r="B537" s="44" t="s">
        <v>111</v>
      </c>
      <c r="C537" s="44" t="s">
        <v>43</v>
      </c>
      <c r="D537" s="44" t="s">
        <v>269</v>
      </c>
      <c r="E537" s="44">
        <v>67818</v>
      </c>
      <c r="F537" s="44"/>
      <c r="G537" s="44"/>
      <c r="H537" s="44">
        <v>9494</v>
      </c>
    </row>
    <row r="538" spans="1:8">
      <c r="A538" s="45">
        <v>2015</v>
      </c>
      <c r="B538" s="45" t="s">
        <v>111</v>
      </c>
      <c r="C538" s="45" t="s">
        <v>43</v>
      </c>
      <c r="D538" s="45" t="s">
        <v>254</v>
      </c>
      <c r="E538" s="45">
        <v>54584</v>
      </c>
      <c r="F538" s="45"/>
      <c r="G538" s="45"/>
      <c r="H538" s="45">
        <v>7641</v>
      </c>
    </row>
    <row r="539" spans="1:8">
      <c r="A539" s="44">
        <v>2015</v>
      </c>
      <c r="B539" s="44" t="s">
        <v>111</v>
      </c>
      <c r="C539" s="44" t="s">
        <v>43</v>
      </c>
      <c r="D539" s="44" t="s">
        <v>270</v>
      </c>
      <c r="E539" s="44">
        <v>44970</v>
      </c>
      <c r="F539" s="44"/>
      <c r="G539" s="44"/>
      <c r="H539" s="44">
        <v>6295</v>
      </c>
    </row>
    <row r="540" spans="1:8">
      <c r="A540" s="45">
        <v>2015</v>
      </c>
      <c r="B540" s="45" t="s">
        <v>111</v>
      </c>
      <c r="C540" s="45" t="s">
        <v>43</v>
      </c>
      <c r="D540" s="45" t="s">
        <v>271</v>
      </c>
      <c r="E540" s="45">
        <v>36441</v>
      </c>
      <c r="F540" s="45"/>
      <c r="G540" s="45"/>
      <c r="H540" s="45">
        <v>5101</v>
      </c>
    </row>
    <row r="541" spans="1:8">
      <c r="A541" s="44">
        <v>2015</v>
      </c>
      <c r="B541" s="44" t="s">
        <v>111</v>
      </c>
      <c r="C541" s="44" t="s">
        <v>43</v>
      </c>
      <c r="D541" s="44" t="s">
        <v>272</v>
      </c>
      <c r="E541" s="44">
        <v>30948</v>
      </c>
      <c r="F541" s="44"/>
      <c r="G541" s="44"/>
      <c r="H541" s="44">
        <v>4332</v>
      </c>
    </row>
    <row r="542" spans="1:8">
      <c r="A542" s="45">
        <v>2015</v>
      </c>
      <c r="B542" s="45" t="s">
        <v>111</v>
      </c>
      <c r="C542" s="45" t="s">
        <v>43</v>
      </c>
      <c r="D542" s="45" t="s">
        <v>273</v>
      </c>
      <c r="E542" s="45">
        <v>23732</v>
      </c>
      <c r="F542" s="45"/>
      <c r="G542" s="45"/>
      <c r="H542" s="45">
        <v>3322</v>
      </c>
    </row>
    <row r="543" spans="1:8">
      <c r="A543" s="44">
        <v>2015</v>
      </c>
      <c r="B543" s="44" t="s">
        <v>111</v>
      </c>
      <c r="C543" s="44" t="s">
        <v>43</v>
      </c>
      <c r="D543" s="44" t="s">
        <v>274</v>
      </c>
      <c r="E543" s="44">
        <v>19002</v>
      </c>
      <c r="F543" s="44"/>
      <c r="G543" s="44"/>
      <c r="H543" s="44">
        <v>2660</v>
      </c>
    </row>
    <row r="544" spans="1:8">
      <c r="A544" s="45">
        <v>2015</v>
      </c>
      <c r="B544" s="45" t="s">
        <v>111</v>
      </c>
      <c r="C544" s="45" t="s">
        <v>43</v>
      </c>
      <c r="D544" s="45" t="s">
        <v>275</v>
      </c>
      <c r="E544" s="45">
        <v>14082</v>
      </c>
      <c r="F544" s="45"/>
      <c r="G544" s="45"/>
      <c r="H544" s="45">
        <v>1971</v>
      </c>
    </row>
    <row r="545" spans="1:8">
      <c r="A545" s="44">
        <v>2015</v>
      </c>
      <c r="B545" s="44" t="s">
        <v>111</v>
      </c>
      <c r="C545" s="44" t="s">
        <v>43</v>
      </c>
      <c r="D545" s="44" t="s">
        <v>276</v>
      </c>
      <c r="E545" s="44">
        <v>12365</v>
      </c>
      <c r="F545" s="44"/>
      <c r="G545" s="44"/>
      <c r="H545" s="44">
        <v>1731</v>
      </c>
    </row>
    <row r="546" spans="1:8">
      <c r="A546" s="45">
        <v>2015</v>
      </c>
      <c r="B546" s="45" t="s">
        <v>111</v>
      </c>
      <c r="C546" s="45" t="s">
        <v>43</v>
      </c>
      <c r="D546" s="45" t="s">
        <v>277</v>
      </c>
      <c r="E546" s="45">
        <v>10657</v>
      </c>
      <c r="F546" s="45"/>
      <c r="G546" s="45"/>
      <c r="H546" s="45">
        <v>1491</v>
      </c>
    </row>
    <row r="547" spans="1:8">
      <c r="A547" s="44">
        <v>2015</v>
      </c>
      <c r="B547" s="44" t="s">
        <v>111</v>
      </c>
      <c r="C547" s="44" t="s">
        <v>43</v>
      </c>
      <c r="D547" s="44" t="s">
        <v>278</v>
      </c>
      <c r="E547" s="44">
        <v>7186</v>
      </c>
      <c r="F547" s="44"/>
      <c r="G547" s="44"/>
      <c r="H547" s="44">
        <v>1006</v>
      </c>
    </row>
    <row r="548" spans="1:8">
      <c r="A548" s="45">
        <v>2015</v>
      </c>
      <c r="B548" s="45" t="s">
        <v>111</v>
      </c>
      <c r="C548" s="45" t="s">
        <v>43</v>
      </c>
      <c r="D548" s="45" t="s">
        <v>279</v>
      </c>
      <c r="E548" s="45">
        <v>7220</v>
      </c>
      <c r="F548" s="45"/>
      <c r="G548" s="45"/>
      <c r="H548" s="45">
        <v>1010</v>
      </c>
    </row>
    <row r="549" spans="1:8">
      <c r="A549" s="44">
        <v>2015</v>
      </c>
      <c r="B549" s="44" t="s">
        <v>111</v>
      </c>
      <c r="C549" s="44" t="s">
        <v>43</v>
      </c>
      <c r="D549" s="44" t="s">
        <v>280</v>
      </c>
      <c r="E549" s="44">
        <v>5019</v>
      </c>
      <c r="F549" s="44"/>
      <c r="G549" s="44"/>
      <c r="H549" s="44">
        <v>702</v>
      </c>
    </row>
    <row r="550" spans="1:8">
      <c r="A550" s="45">
        <v>2015</v>
      </c>
      <c r="B550" s="45" t="s">
        <v>111</v>
      </c>
      <c r="C550" s="45" t="s">
        <v>43</v>
      </c>
      <c r="D550" s="45" t="s">
        <v>281</v>
      </c>
      <c r="E550" s="45">
        <v>3785</v>
      </c>
      <c r="F550" s="45"/>
      <c r="G550" s="45"/>
      <c r="H550" s="45">
        <v>643</v>
      </c>
    </row>
    <row r="551" spans="1:8">
      <c r="A551" s="44">
        <v>2015</v>
      </c>
      <c r="B551" s="44" t="s">
        <v>111</v>
      </c>
      <c r="C551" s="44" t="s">
        <v>43</v>
      </c>
      <c r="D551" s="44" t="s">
        <v>285</v>
      </c>
      <c r="E551" s="44">
        <v>5562</v>
      </c>
      <c r="F551" s="44"/>
      <c r="G551" s="44"/>
      <c r="H551" s="44">
        <v>945</v>
      </c>
    </row>
    <row r="552" spans="1:8">
      <c r="A552" s="44">
        <v>2015</v>
      </c>
      <c r="B552" s="44" t="s">
        <v>102</v>
      </c>
      <c r="C552" s="44" t="s">
        <v>44</v>
      </c>
      <c r="D552" s="44" t="s">
        <v>267</v>
      </c>
      <c r="E552" s="44">
        <v>142461</v>
      </c>
      <c r="F552" s="44"/>
      <c r="G552" s="44"/>
      <c r="H552" s="44">
        <v>24218</v>
      </c>
    </row>
    <row r="553" spans="1:8">
      <c r="A553" s="45">
        <v>2015</v>
      </c>
      <c r="B553" s="45" t="s">
        <v>102</v>
      </c>
      <c r="C553" s="45" t="s">
        <v>44</v>
      </c>
      <c r="D553" s="45" t="s">
        <v>268</v>
      </c>
      <c r="E553" s="45">
        <v>118565</v>
      </c>
      <c r="F553" s="45"/>
      <c r="G553" s="45"/>
      <c r="H553" s="45">
        <v>16599</v>
      </c>
    </row>
    <row r="554" spans="1:8">
      <c r="A554" s="44">
        <v>2015</v>
      </c>
      <c r="B554" s="44" t="s">
        <v>102</v>
      </c>
      <c r="C554" s="44" t="s">
        <v>44</v>
      </c>
      <c r="D554" s="44" t="s">
        <v>269</v>
      </c>
      <c r="E554" s="44">
        <v>95800</v>
      </c>
      <c r="F554" s="44"/>
      <c r="G554" s="44"/>
      <c r="H554" s="44">
        <v>13412</v>
      </c>
    </row>
    <row r="555" spans="1:8">
      <c r="A555" s="45">
        <v>2015</v>
      </c>
      <c r="B555" s="45" t="s">
        <v>102</v>
      </c>
      <c r="C555" s="45" t="s">
        <v>44</v>
      </c>
      <c r="D555" s="45" t="s">
        <v>254</v>
      </c>
      <c r="E555" s="45">
        <v>88487</v>
      </c>
      <c r="F555" s="45"/>
      <c r="G555" s="45"/>
      <c r="H555" s="45">
        <v>12388</v>
      </c>
    </row>
    <row r="556" spans="1:8">
      <c r="A556" s="44">
        <v>2015</v>
      </c>
      <c r="B556" s="44" t="s">
        <v>102</v>
      </c>
      <c r="C556" s="44" t="s">
        <v>44</v>
      </c>
      <c r="D556" s="44" t="s">
        <v>270</v>
      </c>
      <c r="E556" s="44">
        <v>73377</v>
      </c>
      <c r="F556" s="44"/>
      <c r="G556" s="44"/>
      <c r="H556" s="44">
        <v>10272</v>
      </c>
    </row>
    <row r="557" spans="1:8">
      <c r="A557" s="45">
        <v>2015</v>
      </c>
      <c r="B557" s="45" t="s">
        <v>102</v>
      </c>
      <c r="C557" s="45" t="s">
        <v>44</v>
      </c>
      <c r="D557" s="45" t="s">
        <v>271</v>
      </c>
      <c r="E557" s="45">
        <v>49621</v>
      </c>
      <c r="F557" s="45"/>
      <c r="G557" s="45"/>
      <c r="H557" s="45">
        <v>6946</v>
      </c>
    </row>
    <row r="558" spans="1:8">
      <c r="A558" s="44">
        <v>2015</v>
      </c>
      <c r="B558" s="44" t="s">
        <v>102</v>
      </c>
      <c r="C558" s="44" t="s">
        <v>44</v>
      </c>
      <c r="D558" s="44" t="s">
        <v>272</v>
      </c>
      <c r="E558" s="44">
        <v>39559</v>
      </c>
      <c r="F558" s="44"/>
      <c r="G558" s="44"/>
      <c r="H558" s="44">
        <v>5538</v>
      </c>
    </row>
    <row r="559" spans="1:8">
      <c r="A559" s="45">
        <v>2015</v>
      </c>
      <c r="B559" s="45" t="s">
        <v>102</v>
      </c>
      <c r="C559" s="45" t="s">
        <v>44</v>
      </c>
      <c r="D559" s="45" t="s">
        <v>273</v>
      </c>
      <c r="E559" s="45">
        <v>34204</v>
      </c>
      <c r="F559" s="45"/>
      <c r="G559" s="45"/>
      <c r="H559" s="45">
        <v>4788</v>
      </c>
    </row>
    <row r="560" spans="1:8">
      <c r="A560" s="44">
        <v>2015</v>
      </c>
      <c r="B560" s="44" t="s">
        <v>102</v>
      </c>
      <c r="C560" s="44" t="s">
        <v>44</v>
      </c>
      <c r="D560" s="44" t="s">
        <v>274</v>
      </c>
      <c r="E560" s="44">
        <v>30212</v>
      </c>
      <c r="F560" s="44"/>
      <c r="G560" s="44"/>
      <c r="H560" s="44">
        <v>4229</v>
      </c>
    </row>
    <row r="561" spans="1:8">
      <c r="A561" s="45">
        <v>2015</v>
      </c>
      <c r="B561" s="45" t="s">
        <v>102</v>
      </c>
      <c r="C561" s="45" t="s">
        <v>44</v>
      </c>
      <c r="D561" s="45" t="s">
        <v>275</v>
      </c>
      <c r="E561" s="45">
        <v>21766</v>
      </c>
      <c r="F561" s="45"/>
      <c r="G561" s="45"/>
      <c r="H561" s="45">
        <v>3047</v>
      </c>
    </row>
    <row r="562" spans="1:8">
      <c r="A562" s="44">
        <v>2015</v>
      </c>
      <c r="B562" s="44" t="s">
        <v>102</v>
      </c>
      <c r="C562" s="44" t="s">
        <v>44</v>
      </c>
      <c r="D562" s="44" t="s">
        <v>276</v>
      </c>
      <c r="E562" s="44">
        <v>16332</v>
      </c>
      <c r="F562" s="44"/>
      <c r="G562" s="44"/>
      <c r="H562" s="44">
        <v>2286</v>
      </c>
    </row>
    <row r="563" spans="1:8">
      <c r="A563" s="45">
        <v>2015</v>
      </c>
      <c r="B563" s="45" t="s">
        <v>102</v>
      </c>
      <c r="C563" s="45" t="s">
        <v>44</v>
      </c>
      <c r="D563" s="45" t="s">
        <v>277</v>
      </c>
      <c r="E563" s="45">
        <v>12280</v>
      </c>
      <c r="F563" s="45"/>
      <c r="G563" s="45"/>
      <c r="H563" s="45">
        <v>1719</v>
      </c>
    </row>
    <row r="564" spans="1:8">
      <c r="A564" s="44">
        <v>2015</v>
      </c>
      <c r="B564" s="44" t="s">
        <v>102</v>
      </c>
      <c r="C564" s="44" t="s">
        <v>44</v>
      </c>
      <c r="D564" s="44" t="s">
        <v>278</v>
      </c>
      <c r="E564" s="44">
        <v>8613</v>
      </c>
      <c r="F564" s="44"/>
      <c r="G564" s="44"/>
      <c r="H564" s="44">
        <v>1205</v>
      </c>
    </row>
    <row r="565" spans="1:8">
      <c r="A565" s="45">
        <v>2015</v>
      </c>
      <c r="B565" s="45" t="s">
        <v>102</v>
      </c>
      <c r="C565" s="45" t="s">
        <v>44</v>
      </c>
      <c r="D565" s="45" t="s">
        <v>279</v>
      </c>
      <c r="E565" s="45">
        <v>7131</v>
      </c>
      <c r="F565" s="45"/>
      <c r="G565" s="45"/>
      <c r="H565" s="45">
        <v>998</v>
      </c>
    </row>
    <row r="566" spans="1:8">
      <c r="A566" s="44">
        <v>2015</v>
      </c>
      <c r="B566" s="44" t="s">
        <v>102</v>
      </c>
      <c r="C566" s="44" t="s">
        <v>44</v>
      </c>
      <c r="D566" s="44" t="s">
        <v>280</v>
      </c>
      <c r="E566" s="44">
        <v>5042</v>
      </c>
      <c r="F566" s="44"/>
      <c r="G566" s="44"/>
      <c r="H566" s="44">
        <v>705</v>
      </c>
    </row>
    <row r="567" spans="1:8">
      <c r="A567" s="45">
        <v>2015</v>
      </c>
      <c r="B567" s="45" t="s">
        <v>102</v>
      </c>
      <c r="C567" s="45" t="s">
        <v>44</v>
      </c>
      <c r="D567" s="45" t="s">
        <v>281</v>
      </c>
      <c r="E567" s="45">
        <v>3782</v>
      </c>
      <c r="F567" s="45"/>
      <c r="G567" s="45"/>
      <c r="H567" s="45">
        <v>642</v>
      </c>
    </row>
    <row r="568" spans="1:8">
      <c r="A568" s="44">
        <v>2015</v>
      </c>
      <c r="B568" s="44" t="s">
        <v>102</v>
      </c>
      <c r="C568" s="44" t="s">
        <v>44</v>
      </c>
      <c r="D568" s="44" t="s">
        <v>285</v>
      </c>
      <c r="E568" s="44">
        <v>4891</v>
      </c>
      <c r="F568" s="44"/>
      <c r="G568" s="44"/>
      <c r="H568" s="44">
        <v>831</v>
      </c>
    </row>
    <row r="569" spans="1:8">
      <c r="A569" s="45">
        <v>2015</v>
      </c>
      <c r="B569" s="45" t="s">
        <v>103</v>
      </c>
      <c r="C569" s="45" t="s">
        <v>44</v>
      </c>
      <c r="D569" s="45" t="s">
        <v>267</v>
      </c>
      <c r="E569" s="45">
        <v>194947</v>
      </c>
      <c r="F569" s="45"/>
      <c r="G569" s="45"/>
      <c r="H569" s="45">
        <v>33140</v>
      </c>
    </row>
    <row r="570" spans="1:8">
      <c r="A570" s="44">
        <v>2015</v>
      </c>
      <c r="B570" s="44" t="s">
        <v>103</v>
      </c>
      <c r="C570" s="44" t="s">
        <v>44</v>
      </c>
      <c r="D570" s="44" t="s">
        <v>268</v>
      </c>
      <c r="E570" s="44">
        <v>171493</v>
      </c>
      <c r="F570" s="44"/>
      <c r="G570" s="44"/>
      <c r="H570" s="44">
        <v>24009</v>
      </c>
    </row>
    <row r="571" spans="1:8">
      <c r="A571" s="45">
        <v>2015</v>
      </c>
      <c r="B571" s="45" t="s">
        <v>103</v>
      </c>
      <c r="C571" s="45" t="s">
        <v>44</v>
      </c>
      <c r="D571" s="45" t="s">
        <v>269</v>
      </c>
      <c r="E571" s="45">
        <v>157078</v>
      </c>
      <c r="F571" s="45"/>
      <c r="G571" s="45"/>
      <c r="H571" s="45">
        <v>21990</v>
      </c>
    </row>
    <row r="572" spans="1:8">
      <c r="A572" s="44">
        <v>2015</v>
      </c>
      <c r="B572" s="44" t="s">
        <v>103</v>
      </c>
      <c r="C572" s="44" t="s">
        <v>44</v>
      </c>
      <c r="D572" s="44" t="s">
        <v>254</v>
      </c>
      <c r="E572" s="44">
        <v>127218</v>
      </c>
      <c r="F572" s="44"/>
      <c r="G572" s="44"/>
      <c r="H572" s="44">
        <v>17810</v>
      </c>
    </row>
    <row r="573" spans="1:8">
      <c r="A573" s="45">
        <v>2015</v>
      </c>
      <c r="B573" s="45" t="s">
        <v>103</v>
      </c>
      <c r="C573" s="45" t="s">
        <v>44</v>
      </c>
      <c r="D573" s="45" t="s">
        <v>270</v>
      </c>
      <c r="E573" s="45">
        <v>120462</v>
      </c>
      <c r="F573" s="45"/>
      <c r="G573" s="45"/>
      <c r="H573" s="45">
        <v>16864</v>
      </c>
    </row>
    <row r="574" spans="1:8">
      <c r="A574" s="44">
        <v>2015</v>
      </c>
      <c r="B574" s="44" t="s">
        <v>103</v>
      </c>
      <c r="C574" s="44" t="s">
        <v>44</v>
      </c>
      <c r="D574" s="44" t="s">
        <v>271</v>
      </c>
      <c r="E574" s="44">
        <v>86599</v>
      </c>
      <c r="F574" s="44"/>
      <c r="G574" s="44"/>
      <c r="H574" s="44">
        <v>12123</v>
      </c>
    </row>
    <row r="575" spans="1:8">
      <c r="A575" s="45">
        <v>2015</v>
      </c>
      <c r="B575" s="45" t="s">
        <v>103</v>
      </c>
      <c r="C575" s="45" t="s">
        <v>44</v>
      </c>
      <c r="D575" s="45" t="s">
        <v>272</v>
      </c>
      <c r="E575" s="45">
        <v>76073</v>
      </c>
      <c r="F575" s="45"/>
      <c r="G575" s="45"/>
      <c r="H575" s="45">
        <v>10650</v>
      </c>
    </row>
    <row r="576" spans="1:8">
      <c r="A576" s="44">
        <v>2015</v>
      </c>
      <c r="B576" s="44" t="s">
        <v>103</v>
      </c>
      <c r="C576" s="44" t="s">
        <v>44</v>
      </c>
      <c r="D576" s="44" t="s">
        <v>273</v>
      </c>
      <c r="E576" s="44">
        <v>63006</v>
      </c>
      <c r="F576" s="44"/>
      <c r="G576" s="44"/>
      <c r="H576" s="44">
        <v>8820</v>
      </c>
    </row>
    <row r="577" spans="1:8">
      <c r="A577" s="45">
        <v>2015</v>
      </c>
      <c r="B577" s="45" t="s">
        <v>103</v>
      </c>
      <c r="C577" s="45" t="s">
        <v>44</v>
      </c>
      <c r="D577" s="45" t="s">
        <v>274</v>
      </c>
      <c r="E577" s="45">
        <v>51419</v>
      </c>
      <c r="F577" s="45"/>
      <c r="G577" s="45"/>
      <c r="H577" s="45">
        <v>7198</v>
      </c>
    </row>
    <row r="578" spans="1:8">
      <c r="A578" s="44">
        <v>2015</v>
      </c>
      <c r="B578" s="44" t="s">
        <v>103</v>
      </c>
      <c r="C578" s="44" t="s">
        <v>44</v>
      </c>
      <c r="D578" s="44" t="s">
        <v>275</v>
      </c>
      <c r="E578" s="44">
        <v>36597</v>
      </c>
      <c r="F578" s="44"/>
      <c r="G578" s="44"/>
      <c r="H578" s="44">
        <v>5123</v>
      </c>
    </row>
    <row r="579" spans="1:8">
      <c r="A579" s="45">
        <v>2015</v>
      </c>
      <c r="B579" s="45" t="s">
        <v>103</v>
      </c>
      <c r="C579" s="45" t="s">
        <v>44</v>
      </c>
      <c r="D579" s="45" t="s">
        <v>276</v>
      </c>
      <c r="E579" s="45">
        <v>27969</v>
      </c>
      <c r="F579" s="45"/>
      <c r="G579" s="45"/>
      <c r="H579" s="45">
        <v>3915</v>
      </c>
    </row>
    <row r="580" spans="1:8">
      <c r="A580" s="44">
        <v>2015</v>
      </c>
      <c r="B580" s="44" t="s">
        <v>103</v>
      </c>
      <c r="C580" s="44" t="s">
        <v>44</v>
      </c>
      <c r="D580" s="44" t="s">
        <v>277</v>
      </c>
      <c r="E580" s="44">
        <v>21847</v>
      </c>
      <c r="F580" s="44"/>
      <c r="G580" s="44"/>
      <c r="H580" s="44">
        <v>3058</v>
      </c>
    </row>
    <row r="581" spans="1:8">
      <c r="A581" s="45">
        <v>2015</v>
      </c>
      <c r="B581" s="45" t="s">
        <v>103</v>
      </c>
      <c r="C581" s="45" t="s">
        <v>44</v>
      </c>
      <c r="D581" s="45" t="s">
        <v>278</v>
      </c>
      <c r="E581" s="45">
        <v>16207</v>
      </c>
      <c r="F581" s="45"/>
      <c r="G581" s="45"/>
      <c r="H581" s="45">
        <v>2268</v>
      </c>
    </row>
    <row r="582" spans="1:8">
      <c r="A582" s="44">
        <v>2015</v>
      </c>
      <c r="B582" s="44" t="s">
        <v>103</v>
      </c>
      <c r="C582" s="44" t="s">
        <v>44</v>
      </c>
      <c r="D582" s="44" t="s">
        <v>279</v>
      </c>
      <c r="E582" s="44">
        <v>11927</v>
      </c>
      <c r="F582" s="44"/>
      <c r="G582" s="44"/>
      <c r="H582" s="44">
        <v>1669</v>
      </c>
    </row>
    <row r="583" spans="1:8">
      <c r="A583" s="45">
        <v>2015</v>
      </c>
      <c r="B583" s="45" t="s">
        <v>103</v>
      </c>
      <c r="C583" s="45" t="s">
        <v>44</v>
      </c>
      <c r="D583" s="45" t="s">
        <v>280</v>
      </c>
      <c r="E583" s="45">
        <v>7388</v>
      </c>
      <c r="F583" s="45"/>
      <c r="G583" s="45"/>
      <c r="H583" s="45">
        <v>1034</v>
      </c>
    </row>
    <row r="584" spans="1:8">
      <c r="A584" s="44">
        <v>2015</v>
      </c>
      <c r="B584" s="44" t="s">
        <v>103</v>
      </c>
      <c r="C584" s="44" t="s">
        <v>44</v>
      </c>
      <c r="D584" s="44" t="s">
        <v>281</v>
      </c>
      <c r="E584" s="44">
        <v>4786</v>
      </c>
      <c r="F584" s="44"/>
      <c r="G584" s="44"/>
      <c r="H584" s="44">
        <v>813</v>
      </c>
    </row>
    <row r="585" spans="1:8">
      <c r="A585" s="45">
        <v>2015</v>
      </c>
      <c r="B585" s="45" t="s">
        <v>103</v>
      </c>
      <c r="C585" s="45" t="s">
        <v>44</v>
      </c>
      <c r="D585" s="45" t="s">
        <v>285</v>
      </c>
      <c r="E585" s="45">
        <v>4724</v>
      </c>
      <c r="F585" s="45"/>
      <c r="G585" s="45"/>
      <c r="H585" s="45">
        <v>803</v>
      </c>
    </row>
    <row r="586" spans="1:8">
      <c r="A586" s="44">
        <v>2015</v>
      </c>
      <c r="B586" s="44" t="s">
        <v>104</v>
      </c>
      <c r="C586" s="44" t="s">
        <v>44</v>
      </c>
      <c r="D586" s="44" t="s">
        <v>267</v>
      </c>
      <c r="E586" s="44">
        <v>172072</v>
      </c>
      <c r="F586" s="44"/>
      <c r="G586" s="44"/>
      <c r="H586" s="44">
        <v>29252</v>
      </c>
    </row>
    <row r="587" spans="1:8">
      <c r="A587" s="45">
        <v>2015</v>
      </c>
      <c r="B587" s="45" t="s">
        <v>104</v>
      </c>
      <c r="C587" s="45" t="s">
        <v>44</v>
      </c>
      <c r="D587" s="45" t="s">
        <v>268</v>
      </c>
      <c r="E587" s="45">
        <v>138183</v>
      </c>
      <c r="F587" s="45"/>
      <c r="G587" s="45"/>
      <c r="H587" s="45">
        <v>19345</v>
      </c>
    </row>
    <row r="588" spans="1:8">
      <c r="A588" s="44">
        <v>2015</v>
      </c>
      <c r="B588" s="44" t="s">
        <v>104</v>
      </c>
      <c r="C588" s="44" t="s">
        <v>44</v>
      </c>
      <c r="D588" s="44" t="s">
        <v>269</v>
      </c>
      <c r="E588" s="44">
        <v>112384</v>
      </c>
      <c r="F588" s="44"/>
      <c r="G588" s="44"/>
      <c r="H588" s="44">
        <v>15733</v>
      </c>
    </row>
    <row r="589" spans="1:8">
      <c r="A589" s="45">
        <v>2015</v>
      </c>
      <c r="B589" s="45" t="s">
        <v>104</v>
      </c>
      <c r="C589" s="45" t="s">
        <v>44</v>
      </c>
      <c r="D589" s="45" t="s">
        <v>254</v>
      </c>
      <c r="E589" s="45">
        <v>106243</v>
      </c>
      <c r="F589" s="45"/>
      <c r="G589" s="45"/>
      <c r="H589" s="45">
        <v>14874</v>
      </c>
    </row>
    <row r="590" spans="1:8">
      <c r="A590" s="44">
        <v>2015</v>
      </c>
      <c r="B590" s="44" t="s">
        <v>104</v>
      </c>
      <c r="C590" s="44" t="s">
        <v>44</v>
      </c>
      <c r="D590" s="44" t="s">
        <v>270</v>
      </c>
      <c r="E590" s="44">
        <v>84778</v>
      </c>
      <c r="F590" s="44"/>
      <c r="G590" s="44"/>
      <c r="H590" s="44">
        <v>11868</v>
      </c>
    </row>
    <row r="591" spans="1:8">
      <c r="A591" s="45">
        <v>2015</v>
      </c>
      <c r="B591" s="45" t="s">
        <v>104</v>
      </c>
      <c r="C591" s="45" t="s">
        <v>44</v>
      </c>
      <c r="D591" s="45" t="s">
        <v>271</v>
      </c>
      <c r="E591" s="45">
        <v>59635</v>
      </c>
      <c r="F591" s="45"/>
      <c r="G591" s="45"/>
      <c r="H591" s="45">
        <v>8348</v>
      </c>
    </row>
    <row r="592" spans="1:8">
      <c r="A592" s="44">
        <v>2015</v>
      </c>
      <c r="B592" s="44" t="s">
        <v>104</v>
      </c>
      <c r="C592" s="44" t="s">
        <v>44</v>
      </c>
      <c r="D592" s="44" t="s">
        <v>272</v>
      </c>
      <c r="E592" s="44">
        <v>50935</v>
      </c>
      <c r="F592" s="44"/>
      <c r="G592" s="44"/>
      <c r="H592" s="44">
        <v>7130</v>
      </c>
    </row>
    <row r="593" spans="1:8">
      <c r="A593" s="45">
        <v>2015</v>
      </c>
      <c r="B593" s="45" t="s">
        <v>104</v>
      </c>
      <c r="C593" s="45" t="s">
        <v>44</v>
      </c>
      <c r="D593" s="45" t="s">
        <v>273</v>
      </c>
      <c r="E593" s="45">
        <v>42284</v>
      </c>
      <c r="F593" s="45"/>
      <c r="G593" s="45"/>
      <c r="H593" s="45">
        <v>5919</v>
      </c>
    </row>
    <row r="594" spans="1:8">
      <c r="A594" s="44">
        <v>2015</v>
      </c>
      <c r="B594" s="44" t="s">
        <v>104</v>
      </c>
      <c r="C594" s="44" t="s">
        <v>44</v>
      </c>
      <c r="D594" s="44" t="s">
        <v>274</v>
      </c>
      <c r="E594" s="44">
        <v>36428</v>
      </c>
      <c r="F594" s="44"/>
      <c r="G594" s="44"/>
      <c r="H594" s="44">
        <v>5099</v>
      </c>
    </row>
    <row r="595" spans="1:8">
      <c r="A595" s="45">
        <v>2015</v>
      </c>
      <c r="B595" s="45" t="s">
        <v>104</v>
      </c>
      <c r="C595" s="45" t="s">
        <v>44</v>
      </c>
      <c r="D595" s="45" t="s">
        <v>275</v>
      </c>
      <c r="E595" s="45">
        <v>25390</v>
      </c>
      <c r="F595" s="45"/>
      <c r="G595" s="45"/>
      <c r="H595" s="45">
        <v>3554</v>
      </c>
    </row>
    <row r="596" spans="1:8">
      <c r="A596" s="44">
        <v>2015</v>
      </c>
      <c r="B596" s="44" t="s">
        <v>104</v>
      </c>
      <c r="C596" s="44" t="s">
        <v>44</v>
      </c>
      <c r="D596" s="44" t="s">
        <v>276</v>
      </c>
      <c r="E596" s="44">
        <v>20285</v>
      </c>
      <c r="F596" s="44"/>
      <c r="G596" s="44"/>
      <c r="H596" s="44">
        <v>2839</v>
      </c>
    </row>
    <row r="597" spans="1:8">
      <c r="A597" s="45">
        <v>2015</v>
      </c>
      <c r="B597" s="45" t="s">
        <v>104</v>
      </c>
      <c r="C597" s="45" t="s">
        <v>44</v>
      </c>
      <c r="D597" s="45" t="s">
        <v>277</v>
      </c>
      <c r="E597" s="45">
        <v>14406</v>
      </c>
      <c r="F597" s="45"/>
      <c r="G597" s="45"/>
      <c r="H597" s="45">
        <v>2016</v>
      </c>
    </row>
    <row r="598" spans="1:8">
      <c r="A598" s="44">
        <v>2015</v>
      </c>
      <c r="B598" s="44" t="s">
        <v>104</v>
      </c>
      <c r="C598" s="44" t="s">
        <v>44</v>
      </c>
      <c r="D598" s="44" t="s">
        <v>278</v>
      </c>
      <c r="E598" s="44">
        <v>9987</v>
      </c>
      <c r="F598" s="44"/>
      <c r="G598" s="44"/>
      <c r="H598" s="44">
        <v>1398</v>
      </c>
    </row>
    <row r="599" spans="1:8">
      <c r="A599" s="45">
        <v>2015</v>
      </c>
      <c r="B599" s="45" t="s">
        <v>104</v>
      </c>
      <c r="C599" s="45" t="s">
        <v>44</v>
      </c>
      <c r="D599" s="45" t="s">
        <v>279</v>
      </c>
      <c r="E599" s="45">
        <v>8274</v>
      </c>
      <c r="F599" s="45"/>
      <c r="G599" s="45"/>
      <c r="H599" s="45">
        <v>1158</v>
      </c>
    </row>
    <row r="600" spans="1:8">
      <c r="A600" s="44">
        <v>2015</v>
      </c>
      <c r="B600" s="44" t="s">
        <v>104</v>
      </c>
      <c r="C600" s="44" t="s">
        <v>44</v>
      </c>
      <c r="D600" s="44" t="s">
        <v>280</v>
      </c>
      <c r="E600" s="44">
        <v>5847</v>
      </c>
      <c r="F600" s="44"/>
      <c r="G600" s="44"/>
      <c r="H600" s="44">
        <v>818</v>
      </c>
    </row>
    <row r="601" spans="1:8">
      <c r="A601" s="45">
        <v>2015</v>
      </c>
      <c r="B601" s="45" t="s">
        <v>104</v>
      </c>
      <c r="C601" s="45" t="s">
        <v>44</v>
      </c>
      <c r="D601" s="45" t="s">
        <v>281</v>
      </c>
      <c r="E601" s="45">
        <v>4425</v>
      </c>
      <c r="F601" s="45"/>
      <c r="G601" s="45"/>
      <c r="H601" s="45">
        <v>752</v>
      </c>
    </row>
    <row r="602" spans="1:8">
      <c r="A602" s="44">
        <v>2015</v>
      </c>
      <c r="B602" s="44" t="s">
        <v>104</v>
      </c>
      <c r="C602" s="44" t="s">
        <v>44</v>
      </c>
      <c r="D602" s="44" t="s">
        <v>285</v>
      </c>
      <c r="E602" s="44">
        <v>6285</v>
      </c>
      <c r="F602" s="44"/>
      <c r="G602" s="44"/>
      <c r="H602" s="44">
        <v>1068</v>
      </c>
    </row>
    <row r="603" spans="1:8">
      <c r="A603" s="45">
        <v>2015</v>
      </c>
      <c r="B603" s="45" t="s">
        <v>105</v>
      </c>
      <c r="C603" s="45" t="s">
        <v>44</v>
      </c>
      <c r="D603" s="45" t="s">
        <v>267</v>
      </c>
      <c r="E603" s="45">
        <v>112463</v>
      </c>
      <c r="F603" s="45"/>
      <c r="G603" s="45"/>
      <c r="H603" s="45">
        <v>19118</v>
      </c>
    </row>
    <row r="604" spans="1:8">
      <c r="A604" s="44">
        <v>2015</v>
      </c>
      <c r="B604" s="44" t="s">
        <v>105</v>
      </c>
      <c r="C604" s="44" t="s">
        <v>44</v>
      </c>
      <c r="D604" s="44" t="s">
        <v>268</v>
      </c>
      <c r="E604" s="44">
        <v>89498</v>
      </c>
      <c r="F604" s="44"/>
      <c r="G604" s="44"/>
      <c r="H604" s="44">
        <v>12529</v>
      </c>
    </row>
    <row r="605" spans="1:8">
      <c r="A605" s="45">
        <v>2015</v>
      </c>
      <c r="B605" s="45" t="s">
        <v>105</v>
      </c>
      <c r="C605" s="45" t="s">
        <v>44</v>
      </c>
      <c r="D605" s="45" t="s">
        <v>269</v>
      </c>
      <c r="E605" s="45">
        <v>67798</v>
      </c>
      <c r="F605" s="45"/>
      <c r="G605" s="45"/>
      <c r="H605" s="45">
        <v>9491</v>
      </c>
    </row>
    <row r="606" spans="1:8">
      <c r="A606" s="44">
        <v>2015</v>
      </c>
      <c r="B606" s="44" t="s">
        <v>105</v>
      </c>
      <c r="C606" s="44" t="s">
        <v>44</v>
      </c>
      <c r="D606" s="44" t="s">
        <v>254</v>
      </c>
      <c r="E606" s="44">
        <v>64192</v>
      </c>
      <c r="F606" s="44"/>
      <c r="G606" s="44"/>
      <c r="H606" s="44">
        <v>8986</v>
      </c>
    </row>
    <row r="607" spans="1:8">
      <c r="A607" s="45">
        <v>2015</v>
      </c>
      <c r="B607" s="45" t="s">
        <v>105</v>
      </c>
      <c r="C607" s="45" t="s">
        <v>44</v>
      </c>
      <c r="D607" s="45" t="s">
        <v>270</v>
      </c>
      <c r="E607" s="45">
        <v>47692</v>
      </c>
      <c r="F607" s="45"/>
      <c r="G607" s="45"/>
      <c r="H607" s="45">
        <v>6676</v>
      </c>
    </row>
    <row r="608" spans="1:8">
      <c r="A608" s="44">
        <v>2015</v>
      </c>
      <c r="B608" s="44" t="s">
        <v>105</v>
      </c>
      <c r="C608" s="44" t="s">
        <v>44</v>
      </c>
      <c r="D608" s="44" t="s">
        <v>271</v>
      </c>
      <c r="E608" s="44">
        <v>29990</v>
      </c>
      <c r="F608" s="44"/>
      <c r="G608" s="44"/>
      <c r="H608" s="44">
        <v>4198</v>
      </c>
    </row>
    <row r="609" spans="1:8">
      <c r="A609" s="45">
        <v>2015</v>
      </c>
      <c r="B609" s="45" t="s">
        <v>105</v>
      </c>
      <c r="C609" s="45" t="s">
        <v>44</v>
      </c>
      <c r="D609" s="45" t="s">
        <v>272</v>
      </c>
      <c r="E609" s="45">
        <v>28776</v>
      </c>
      <c r="F609" s="45"/>
      <c r="G609" s="45"/>
      <c r="H609" s="45">
        <v>4028</v>
      </c>
    </row>
    <row r="610" spans="1:8">
      <c r="A610" s="44">
        <v>2015</v>
      </c>
      <c r="B610" s="44" t="s">
        <v>105</v>
      </c>
      <c r="C610" s="44" t="s">
        <v>44</v>
      </c>
      <c r="D610" s="44" t="s">
        <v>273</v>
      </c>
      <c r="E610" s="44">
        <v>26672</v>
      </c>
      <c r="F610" s="44"/>
      <c r="G610" s="44"/>
      <c r="H610" s="44">
        <v>3734</v>
      </c>
    </row>
    <row r="611" spans="1:8">
      <c r="A611" s="45">
        <v>2015</v>
      </c>
      <c r="B611" s="45" t="s">
        <v>105</v>
      </c>
      <c r="C611" s="45" t="s">
        <v>44</v>
      </c>
      <c r="D611" s="45" t="s">
        <v>274</v>
      </c>
      <c r="E611" s="45">
        <v>22990</v>
      </c>
      <c r="F611" s="45"/>
      <c r="G611" s="45"/>
      <c r="H611" s="45">
        <v>3218</v>
      </c>
    </row>
    <row r="612" spans="1:8">
      <c r="A612" s="44">
        <v>2015</v>
      </c>
      <c r="B612" s="44" t="s">
        <v>105</v>
      </c>
      <c r="C612" s="44" t="s">
        <v>44</v>
      </c>
      <c r="D612" s="44" t="s">
        <v>275</v>
      </c>
      <c r="E612" s="44">
        <v>17754</v>
      </c>
      <c r="F612" s="44"/>
      <c r="G612" s="44"/>
      <c r="H612" s="44">
        <v>2485</v>
      </c>
    </row>
    <row r="613" spans="1:8">
      <c r="A613" s="45">
        <v>2015</v>
      </c>
      <c r="B613" s="45" t="s">
        <v>105</v>
      </c>
      <c r="C613" s="45" t="s">
        <v>44</v>
      </c>
      <c r="D613" s="45" t="s">
        <v>276</v>
      </c>
      <c r="E613" s="45">
        <v>13853</v>
      </c>
      <c r="F613" s="45"/>
      <c r="G613" s="45"/>
      <c r="H613" s="45">
        <v>1939</v>
      </c>
    </row>
    <row r="614" spans="1:8">
      <c r="A614" s="44">
        <v>2015</v>
      </c>
      <c r="B614" s="44" t="s">
        <v>105</v>
      </c>
      <c r="C614" s="44" t="s">
        <v>44</v>
      </c>
      <c r="D614" s="44" t="s">
        <v>277</v>
      </c>
      <c r="E614" s="44">
        <v>10563</v>
      </c>
      <c r="F614" s="44"/>
      <c r="G614" s="44"/>
      <c r="H614" s="44">
        <v>1478</v>
      </c>
    </row>
    <row r="615" spans="1:8">
      <c r="A615" s="45">
        <v>2015</v>
      </c>
      <c r="B615" s="45" t="s">
        <v>105</v>
      </c>
      <c r="C615" s="45" t="s">
        <v>44</v>
      </c>
      <c r="D615" s="45" t="s">
        <v>278</v>
      </c>
      <c r="E615" s="45">
        <v>6731</v>
      </c>
      <c r="F615" s="45"/>
      <c r="G615" s="45"/>
      <c r="H615" s="45">
        <v>942</v>
      </c>
    </row>
    <row r="616" spans="1:8">
      <c r="A616" s="44">
        <v>2015</v>
      </c>
      <c r="B616" s="44" t="s">
        <v>105</v>
      </c>
      <c r="C616" s="44" t="s">
        <v>44</v>
      </c>
      <c r="D616" s="44" t="s">
        <v>279</v>
      </c>
      <c r="E616" s="44">
        <v>5702</v>
      </c>
      <c r="F616" s="44"/>
      <c r="G616" s="44"/>
      <c r="H616" s="44">
        <v>798</v>
      </c>
    </row>
    <row r="617" spans="1:8">
      <c r="A617" s="45">
        <v>2015</v>
      </c>
      <c r="B617" s="45" t="s">
        <v>105</v>
      </c>
      <c r="C617" s="45" t="s">
        <v>44</v>
      </c>
      <c r="D617" s="45" t="s">
        <v>280</v>
      </c>
      <c r="E617" s="45">
        <v>3848</v>
      </c>
      <c r="F617" s="45"/>
      <c r="G617" s="45"/>
      <c r="H617" s="45">
        <v>538</v>
      </c>
    </row>
    <row r="618" spans="1:8">
      <c r="A618" s="44">
        <v>2015</v>
      </c>
      <c r="B618" s="44" t="s">
        <v>105</v>
      </c>
      <c r="C618" s="44" t="s">
        <v>44</v>
      </c>
      <c r="D618" s="44" t="s">
        <v>281</v>
      </c>
      <c r="E618" s="44">
        <v>2704</v>
      </c>
      <c r="F618" s="44"/>
      <c r="G618" s="44"/>
      <c r="H618" s="44">
        <v>459</v>
      </c>
    </row>
    <row r="619" spans="1:8">
      <c r="A619" s="45">
        <v>2015</v>
      </c>
      <c r="B619" s="45" t="s">
        <v>105</v>
      </c>
      <c r="C619" s="45" t="s">
        <v>44</v>
      </c>
      <c r="D619" s="45" t="s">
        <v>285</v>
      </c>
      <c r="E619" s="45">
        <v>2964</v>
      </c>
      <c r="F619" s="45"/>
      <c r="G619" s="45"/>
      <c r="H619" s="45">
        <v>503</v>
      </c>
    </row>
    <row r="620" spans="1:8">
      <c r="A620" s="44">
        <v>2015</v>
      </c>
      <c r="B620" s="44" t="s">
        <v>106</v>
      </c>
      <c r="C620" s="44" t="s">
        <v>44</v>
      </c>
      <c r="D620" s="44" t="s">
        <v>267</v>
      </c>
      <c r="E620" s="44">
        <v>233586</v>
      </c>
      <c r="F620" s="44"/>
      <c r="G620" s="44"/>
      <c r="H620" s="44">
        <v>39709</v>
      </c>
    </row>
    <row r="621" spans="1:8">
      <c r="A621" s="45">
        <v>2015</v>
      </c>
      <c r="B621" s="45" t="s">
        <v>106</v>
      </c>
      <c r="C621" s="45" t="s">
        <v>44</v>
      </c>
      <c r="D621" s="45" t="s">
        <v>268</v>
      </c>
      <c r="E621" s="45">
        <v>188110</v>
      </c>
      <c r="F621" s="45"/>
      <c r="G621" s="45"/>
      <c r="H621" s="45">
        <v>26335</v>
      </c>
    </row>
    <row r="622" spans="1:8">
      <c r="A622" s="44">
        <v>2015</v>
      </c>
      <c r="B622" s="44" t="s">
        <v>106</v>
      </c>
      <c r="C622" s="44" t="s">
        <v>44</v>
      </c>
      <c r="D622" s="44" t="s">
        <v>269</v>
      </c>
      <c r="E622" s="44">
        <v>159577</v>
      </c>
      <c r="F622" s="44"/>
      <c r="G622" s="44"/>
      <c r="H622" s="44">
        <v>22340</v>
      </c>
    </row>
    <row r="623" spans="1:8">
      <c r="A623" s="45">
        <v>2015</v>
      </c>
      <c r="B623" s="45" t="s">
        <v>106</v>
      </c>
      <c r="C623" s="45" t="s">
        <v>44</v>
      </c>
      <c r="D623" s="45" t="s">
        <v>254</v>
      </c>
      <c r="E623" s="45">
        <v>137000</v>
      </c>
      <c r="F623" s="45"/>
      <c r="G623" s="45"/>
      <c r="H623" s="45">
        <v>19180</v>
      </c>
    </row>
    <row r="624" spans="1:8">
      <c r="A624" s="44">
        <v>2015</v>
      </c>
      <c r="B624" s="44" t="s">
        <v>106</v>
      </c>
      <c r="C624" s="44" t="s">
        <v>44</v>
      </c>
      <c r="D624" s="44" t="s">
        <v>270</v>
      </c>
      <c r="E624" s="44">
        <v>130766</v>
      </c>
      <c r="F624" s="44"/>
      <c r="G624" s="44"/>
      <c r="H624" s="44">
        <v>18307</v>
      </c>
    </row>
    <row r="625" spans="1:8">
      <c r="A625" s="45">
        <v>2015</v>
      </c>
      <c r="B625" s="45" t="s">
        <v>106</v>
      </c>
      <c r="C625" s="45" t="s">
        <v>44</v>
      </c>
      <c r="D625" s="45" t="s">
        <v>271</v>
      </c>
      <c r="E625" s="45">
        <v>117787</v>
      </c>
      <c r="F625" s="45"/>
      <c r="G625" s="45"/>
      <c r="H625" s="45">
        <v>16490</v>
      </c>
    </row>
    <row r="626" spans="1:8">
      <c r="A626" s="44">
        <v>2015</v>
      </c>
      <c r="B626" s="44" t="s">
        <v>106</v>
      </c>
      <c r="C626" s="44" t="s">
        <v>44</v>
      </c>
      <c r="D626" s="44" t="s">
        <v>272</v>
      </c>
      <c r="E626" s="44">
        <v>112835</v>
      </c>
      <c r="F626" s="44"/>
      <c r="G626" s="44"/>
      <c r="H626" s="44">
        <v>15796</v>
      </c>
    </row>
    <row r="627" spans="1:8">
      <c r="A627" s="45">
        <v>2015</v>
      </c>
      <c r="B627" s="45" t="s">
        <v>106</v>
      </c>
      <c r="C627" s="45" t="s">
        <v>44</v>
      </c>
      <c r="D627" s="45" t="s">
        <v>273</v>
      </c>
      <c r="E627" s="45">
        <v>93294</v>
      </c>
      <c r="F627" s="45"/>
      <c r="G627" s="45"/>
      <c r="H627" s="45">
        <v>13061</v>
      </c>
    </row>
    <row r="628" spans="1:8">
      <c r="A628" s="44">
        <v>2015</v>
      </c>
      <c r="B628" s="44" t="s">
        <v>106</v>
      </c>
      <c r="C628" s="44" t="s">
        <v>44</v>
      </c>
      <c r="D628" s="44" t="s">
        <v>274</v>
      </c>
      <c r="E628" s="44">
        <v>74369</v>
      </c>
      <c r="F628" s="44"/>
      <c r="G628" s="44"/>
      <c r="H628" s="44">
        <v>10411</v>
      </c>
    </row>
    <row r="629" spans="1:8">
      <c r="A629" s="45">
        <v>2015</v>
      </c>
      <c r="B629" s="45" t="s">
        <v>106</v>
      </c>
      <c r="C629" s="45" t="s">
        <v>44</v>
      </c>
      <c r="D629" s="45" t="s">
        <v>275</v>
      </c>
      <c r="E629" s="45">
        <v>45746</v>
      </c>
      <c r="F629" s="45"/>
      <c r="G629" s="45"/>
      <c r="H629" s="45">
        <v>6404</v>
      </c>
    </row>
    <row r="630" spans="1:8">
      <c r="A630" s="44">
        <v>2015</v>
      </c>
      <c r="B630" s="44" t="s">
        <v>106</v>
      </c>
      <c r="C630" s="44" t="s">
        <v>44</v>
      </c>
      <c r="D630" s="44" t="s">
        <v>276</v>
      </c>
      <c r="E630" s="44">
        <v>29423</v>
      </c>
      <c r="F630" s="44"/>
      <c r="G630" s="44"/>
      <c r="H630" s="44">
        <v>4119</v>
      </c>
    </row>
    <row r="631" spans="1:8">
      <c r="A631" s="45">
        <v>2015</v>
      </c>
      <c r="B631" s="45" t="s">
        <v>106</v>
      </c>
      <c r="C631" s="45" t="s">
        <v>44</v>
      </c>
      <c r="D631" s="45" t="s">
        <v>277</v>
      </c>
      <c r="E631" s="45">
        <v>19484</v>
      </c>
      <c r="F631" s="45"/>
      <c r="G631" s="45"/>
      <c r="H631" s="45">
        <v>2727</v>
      </c>
    </row>
    <row r="632" spans="1:8">
      <c r="A632" s="44">
        <v>2015</v>
      </c>
      <c r="B632" s="44" t="s">
        <v>106</v>
      </c>
      <c r="C632" s="44" t="s">
        <v>44</v>
      </c>
      <c r="D632" s="44" t="s">
        <v>278</v>
      </c>
      <c r="E632" s="44">
        <v>13010</v>
      </c>
      <c r="F632" s="44"/>
      <c r="G632" s="44"/>
      <c r="H632" s="44">
        <v>1821</v>
      </c>
    </row>
    <row r="633" spans="1:8">
      <c r="A633" s="45">
        <v>2015</v>
      </c>
      <c r="B633" s="45" t="s">
        <v>106</v>
      </c>
      <c r="C633" s="45" t="s">
        <v>44</v>
      </c>
      <c r="D633" s="45" t="s">
        <v>279</v>
      </c>
      <c r="E633" s="45">
        <v>9090</v>
      </c>
      <c r="F633" s="45"/>
      <c r="G633" s="45"/>
      <c r="H633" s="45">
        <v>1272</v>
      </c>
    </row>
    <row r="634" spans="1:8">
      <c r="A634" s="44">
        <v>2015</v>
      </c>
      <c r="B634" s="44" t="s">
        <v>106</v>
      </c>
      <c r="C634" s="44" t="s">
        <v>44</v>
      </c>
      <c r="D634" s="44" t="s">
        <v>280</v>
      </c>
      <c r="E634" s="44">
        <v>5317</v>
      </c>
      <c r="F634" s="44"/>
      <c r="G634" s="44"/>
      <c r="H634" s="44">
        <v>744</v>
      </c>
    </row>
    <row r="635" spans="1:8">
      <c r="A635" s="45">
        <v>2015</v>
      </c>
      <c r="B635" s="45" t="s">
        <v>106</v>
      </c>
      <c r="C635" s="45" t="s">
        <v>44</v>
      </c>
      <c r="D635" s="45" t="s">
        <v>281</v>
      </c>
      <c r="E635" s="45">
        <v>3196</v>
      </c>
      <c r="F635" s="45"/>
      <c r="G635" s="45"/>
      <c r="H635" s="45">
        <v>543</v>
      </c>
    </row>
    <row r="636" spans="1:8">
      <c r="A636" s="44">
        <v>2015</v>
      </c>
      <c r="B636" s="44" t="s">
        <v>106</v>
      </c>
      <c r="C636" s="44" t="s">
        <v>44</v>
      </c>
      <c r="D636" s="44" t="s">
        <v>285</v>
      </c>
      <c r="E636" s="44">
        <v>3634</v>
      </c>
      <c r="F636" s="44"/>
      <c r="G636" s="44"/>
      <c r="H636" s="44">
        <v>617</v>
      </c>
    </row>
    <row r="637" spans="1:8">
      <c r="A637" s="45">
        <v>2015</v>
      </c>
      <c r="B637" s="45" t="s">
        <v>107</v>
      </c>
      <c r="C637" s="45" t="s">
        <v>44</v>
      </c>
      <c r="D637" s="45" t="s">
        <v>267</v>
      </c>
      <c r="E637" s="45">
        <v>88436</v>
      </c>
      <c r="F637" s="45"/>
      <c r="G637" s="45"/>
      <c r="H637" s="45">
        <v>15034</v>
      </c>
    </row>
    <row r="638" spans="1:8">
      <c r="A638" s="44">
        <v>2015</v>
      </c>
      <c r="B638" s="44" t="s">
        <v>107</v>
      </c>
      <c r="C638" s="44" t="s">
        <v>44</v>
      </c>
      <c r="D638" s="44" t="s">
        <v>268</v>
      </c>
      <c r="E638" s="44">
        <v>66876</v>
      </c>
      <c r="F638" s="44"/>
      <c r="G638" s="44"/>
      <c r="H638" s="44">
        <v>9362</v>
      </c>
    </row>
    <row r="639" spans="1:8">
      <c r="A639" s="45">
        <v>2015</v>
      </c>
      <c r="B639" s="45" t="s">
        <v>107</v>
      </c>
      <c r="C639" s="45" t="s">
        <v>44</v>
      </c>
      <c r="D639" s="45" t="s">
        <v>269</v>
      </c>
      <c r="E639" s="45">
        <v>56303</v>
      </c>
      <c r="F639" s="45"/>
      <c r="G639" s="45"/>
      <c r="H639" s="45">
        <v>7882</v>
      </c>
    </row>
    <row r="640" spans="1:8">
      <c r="A640" s="44">
        <v>2015</v>
      </c>
      <c r="B640" s="44" t="s">
        <v>107</v>
      </c>
      <c r="C640" s="44" t="s">
        <v>44</v>
      </c>
      <c r="D640" s="44" t="s">
        <v>254</v>
      </c>
      <c r="E640" s="44">
        <v>51771</v>
      </c>
      <c r="F640" s="44"/>
      <c r="G640" s="44"/>
      <c r="H640" s="44">
        <v>7247</v>
      </c>
    </row>
    <row r="641" spans="1:8">
      <c r="A641" s="45">
        <v>2015</v>
      </c>
      <c r="B641" s="45" t="s">
        <v>107</v>
      </c>
      <c r="C641" s="45" t="s">
        <v>44</v>
      </c>
      <c r="D641" s="45" t="s">
        <v>270</v>
      </c>
      <c r="E641" s="45">
        <v>39030</v>
      </c>
      <c r="F641" s="45"/>
      <c r="G641" s="45"/>
      <c r="H641" s="45">
        <v>5464</v>
      </c>
    </row>
    <row r="642" spans="1:8">
      <c r="A642" s="44">
        <v>2015</v>
      </c>
      <c r="B642" s="44" t="s">
        <v>107</v>
      </c>
      <c r="C642" s="44" t="s">
        <v>44</v>
      </c>
      <c r="D642" s="44" t="s">
        <v>271</v>
      </c>
      <c r="E642" s="44">
        <v>27004</v>
      </c>
      <c r="F642" s="44"/>
      <c r="G642" s="44"/>
      <c r="H642" s="44">
        <v>3780</v>
      </c>
    </row>
    <row r="643" spans="1:8">
      <c r="A643" s="45">
        <v>2015</v>
      </c>
      <c r="B643" s="45" t="s">
        <v>107</v>
      </c>
      <c r="C643" s="45" t="s">
        <v>44</v>
      </c>
      <c r="D643" s="45" t="s">
        <v>272</v>
      </c>
      <c r="E643" s="45">
        <v>24310</v>
      </c>
      <c r="F643" s="45"/>
      <c r="G643" s="45"/>
      <c r="H643" s="45">
        <v>3403</v>
      </c>
    </row>
    <row r="644" spans="1:8">
      <c r="A644" s="44">
        <v>2015</v>
      </c>
      <c r="B644" s="44" t="s">
        <v>107</v>
      </c>
      <c r="C644" s="44" t="s">
        <v>44</v>
      </c>
      <c r="D644" s="44" t="s">
        <v>273</v>
      </c>
      <c r="E644" s="44">
        <v>20295</v>
      </c>
      <c r="F644" s="44"/>
      <c r="G644" s="44"/>
      <c r="H644" s="44">
        <v>2841</v>
      </c>
    </row>
    <row r="645" spans="1:8">
      <c r="A645" s="45">
        <v>2015</v>
      </c>
      <c r="B645" s="45" t="s">
        <v>107</v>
      </c>
      <c r="C645" s="45" t="s">
        <v>44</v>
      </c>
      <c r="D645" s="45" t="s">
        <v>274</v>
      </c>
      <c r="E645" s="45">
        <v>17312</v>
      </c>
      <c r="F645" s="45"/>
      <c r="G645" s="45"/>
      <c r="H645" s="45">
        <v>2423</v>
      </c>
    </row>
    <row r="646" spans="1:8">
      <c r="A646" s="44">
        <v>2015</v>
      </c>
      <c r="B646" s="44" t="s">
        <v>107</v>
      </c>
      <c r="C646" s="44" t="s">
        <v>44</v>
      </c>
      <c r="D646" s="44" t="s">
        <v>275</v>
      </c>
      <c r="E646" s="44">
        <v>12592</v>
      </c>
      <c r="F646" s="44"/>
      <c r="G646" s="44"/>
      <c r="H646" s="44">
        <v>1762</v>
      </c>
    </row>
    <row r="647" spans="1:8">
      <c r="A647" s="45">
        <v>2015</v>
      </c>
      <c r="B647" s="45" t="s">
        <v>107</v>
      </c>
      <c r="C647" s="45" t="s">
        <v>44</v>
      </c>
      <c r="D647" s="45" t="s">
        <v>276</v>
      </c>
      <c r="E647" s="45">
        <v>9978</v>
      </c>
      <c r="F647" s="45"/>
      <c r="G647" s="45"/>
      <c r="H647" s="45">
        <v>1396</v>
      </c>
    </row>
    <row r="648" spans="1:8">
      <c r="A648" s="44">
        <v>2015</v>
      </c>
      <c r="B648" s="44" t="s">
        <v>107</v>
      </c>
      <c r="C648" s="44" t="s">
        <v>44</v>
      </c>
      <c r="D648" s="44" t="s">
        <v>277</v>
      </c>
      <c r="E648" s="44">
        <v>7212</v>
      </c>
      <c r="F648" s="44"/>
      <c r="G648" s="44"/>
      <c r="H648" s="44">
        <v>1009</v>
      </c>
    </row>
    <row r="649" spans="1:8">
      <c r="A649" s="45">
        <v>2015</v>
      </c>
      <c r="B649" s="45" t="s">
        <v>107</v>
      </c>
      <c r="C649" s="45" t="s">
        <v>44</v>
      </c>
      <c r="D649" s="45" t="s">
        <v>278</v>
      </c>
      <c r="E649" s="45">
        <v>4812</v>
      </c>
      <c r="F649" s="45"/>
      <c r="G649" s="45"/>
      <c r="H649" s="45">
        <v>673</v>
      </c>
    </row>
    <row r="650" spans="1:8">
      <c r="A650" s="44">
        <v>2015</v>
      </c>
      <c r="B650" s="44" t="s">
        <v>107</v>
      </c>
      <c r="C650" s="44" t="s">
        <v>44</v>
      </c>
      <c r="D650" s="44" t="s">
        <v>279</v>
      </c>
      <c r="E650" s="44">
        <v>4156</v>
      </c>
      <c r="F650" s="44"/>
      <c r="G650" s="44"/>
      <c r="H650" s="44">
        <v>581</v>
      </c>
    </row>
    <row r="651" spans="1:8">
      <c r="A651" s="45">
        <v>2015</v>
      </c>
      <c r="B651" s="45" t="s">
        <v>107</v>
      </c>
      <c r="C651" s="45" t="s">
        <v>44</v>
      </c>
      <c r="D651" s="45" t="s">
        <v>280</v>
      </c>
      <c r="E651" s="45">
        <v>3278</v>
      </c>
      <c r="F651" s="45"/>
      <c r="G651" s="45"/>
      <c r="H651" s="45">
        <v>458</v>
      </c>
    </row>
    <row r="652" spans="1:8">
      <c r="A652" s="44">
        <v>2015</v>
      </c>
      <c r="B652" s="44" t="s">
        <v>107</v>
      </c>
      <c r="C652" s="44" t="s">
        <v>44</v>
      </c>
      <c r="D652" s="44" t="s">
        <v>281</v>
      </c>
      <c r="E652" s="44">
        <v>2666</v>
      </c>
      <c r="F652" s="44"/>
      <c r="G652" s="44"/>
      <c r="H652" s="44">
        <v>453</v>
      </c>
    </row>
    <row r="653" spans="1:8">
      <c r="A653" s="45">
        <v>2015</v>
      </c>
      <c r="B653" s="45" t="s">
        <v>107</v>
      </c>
      <c r="C653" s="45" t="s">
        <v>44</v>
      </c>
      <c r="D653" s="45" t="s">
        <v>285</v>
      </c>
      <c r="E653" s="45">
        <v>3529</v>
      </c>
      <c r="F653" s="45"/>
      <c r="G653" s="45"/>
      <c r="H653" s="45">
        <v>599</v>
      </c>
    </row>
    <row r="654" spans="1:8">
      <c r="A654" s="44">
        <v>2015</v>
      </c>
      <c r="B654" s="44" t="s">
        <v>109</v>
      </c>
      <c r="C654" s="44" t="s">
        <v>44</v>
      </c>
      <c r="D654" s="44" t="s">
        <v>267</v>
      </c>
      <c r="E654" s="44">
        <v>128751</v>
      </c>
      <c r="F654" s="44"/>
      <c r="G654" s="44"/>
      <c r="H654" s="44">
        <v>21887</v>
      </c>
    </row>
    <row r="655" spans="1:8">
      <c r="A655" s="45">
        <v>2015</v>
      </c>
      <c r="B655" s="45" t="s">
        <v>109</v>
      </c>
      <c r="C655" s="45" t="s">
        <v>44</v>
      </c>
      <c r="D655" s="45" t="s">
        <v>268</v>
      </c>
      <c r="E655" s="45">
        <v>105963</v>
      </c>
      <c r="F655" s="45"/>
      <c r="G655" s="45"/>
      <c r="H655" s="45">
        <v>14834</v>
      </c>
    </row>
    <row r="656" spans="1:8">
      <c r="A656" s="44">
        <v>2015</v>
      </c>
      <c r="B656" s="44" t="s">
        <v>109</v>
      </c>
      <c r="C656" s="44" t="s">
        <v>44</v>
      </c>
      <c r="D656" s="44" t="s">
        <v>269</v>
      </c>
      <c r="E656" s="44">
        <v>84590</v>
      </c>
      <c r="F656" s="44"/>
      <c r="G656" s="44"/>
      <c r="H656" s="44">
        <v>11842</v>
      </c>
    </row>
    <row r="657" spans="1:8">
      <c r="A657" s="45">
        <v>2015</v>
      </c>
      <c r="B657" s="45" t="s">
        <v>109</v>
      </c>
      <c r="C657" s="45" t="s">
        <v>44</v>
      </c>
      <c r="D657" s="45" t="s">
        <v>254</v>
      </c>
      <c r="E657" s="45">
        <v>73510</v>
      </c>
      <c r="F657" s="45"/>
      <c r="G657" s="45"/>
      <c r="H657" s="45">
        <v>10291</v>
      </c>
    </row>
    <row r="658" spans="1:8">
      <c r="A658" s="44">
        <v>2015</v>
      </c>
      <c r="B658" s="44" t="s">
        <v>109</v>
      </c>
      <c r="C658" s="44" t="s">
        <v>44</v>
      </c>
      <c r="D658" s="44" t="s">
        <v>270</v>
      </c>
      <c r="E658" s="44">
        <v>54546</v>
      </c>
      <c r="F658" s="44"/>
      <c r="G658" s="44"/>
      <c r="H658" s="44">
        <v>7636</v>
      </c>
    </row>
    <row r="659" spans="1:8">
      <c r="A659" s="45">
        <v>2015</v>
      </c>
      <c r="B659" s="45" t="s">
        <v>109</v>
      </c>
      <c r="C659" s="45" t="s">
        <v>44</v>
      </c>
      <c r="D659" s="45" t="s">
        <v>271</v>
      </c>
      <c r="E659" s="45">
        <v>37412</v>
      </c>
      <c r="F659" s="45"/>
      <c r="G659" s="45"/>
      <c r="H659" s="45">
        <v>5237</v>
      </c>
    </row>
    <row r="660" spans="1:8">
      <c r="A660" s="44">
        <v>2015</v>
      </c>
      <c r="B660" s="44" t="s">
        <v>109</v>
      </c>
      <c r="C660" s="44" t="s">
        <v>44</v>
      </c>
      <c r="D660" s="44" t="s">
        <v>272</v>
      </c>
      <c r="E660" s="44">
        <v>35429</v>
      </c>
      <c r="F660" s="44"/>
      <c r="G660" s="44"/>
      <c r="H660" s="44">
        <v>4960</v>
      </c>
    </row>
    <row r="661" spans="1:8">
      <c r="A661" s="45">
        <v>2015</v>
      </c>
      <c r="B661" s="45" t="s">
        <v>109</v>
      </c>
      <c r="C661" s="45" t="s">
        <v>44</v>
      </c>
      <c r="D661" s="45" t="s">
        <v>273</v>
      </c>
      <c r="E661" s="45">
        <v>29382</v>
      </c>
      <c r="F661" s="45"/>
      <c r="G661" s="45"/>
      <c r="H661" s="45">
        <v>4113</v>
      </c>
    </row>
    <row r="662" spans="1:8">
      <c r="A662" s="44">
        <v>2015</v>
      </c>
      <c r="B662" s="44" t="s">
        <v>109</v>
      </c>
      <c r="C662" s="44" t="s">
        <v>44</v>
      </c>
      <c r="D662" s="44" t="s">
        <v>274</v>
      </c>
      <c r="E662" s="44">
        <v>25621</v>
      </c>
      <c r="F662" s="44"/>
      <c r="G662" s="44"/>
      <c r="H662" s="44">
        <v>3586</v>
      </c>
    </row>
    <row r="663" spans="1:8">
      <c r="A663" s="45">
        <v>2015</v>
      </c>
      <c r="B663" s="45" t="s">
        <v>109</v>
      </c>
      <c r="C663" s="45" t="s">
        <v>44</v>
      </c>
      <c r="D663" s="45" t="s">
        <v>275</v>
      </c>
      <c r="E663" s="45">
        <v>18744</v>
      </c>
      <c r="F663" s="45"/>
      <c r="G663" s="45"/>
      <c r="H663" s="45">
        <v>2624</v>
      </c>
    </row>
    <row r="664" spans="1:8">
      <c r="A664" s="44">
        <v>2015</v>
      </c>
      <c r="B664" s="44" t="s">
        <v>109</v>
      </c>
      <c r="C664" s="44" t="s">
        <v>44</v>
      </c>
      <c r="D664" s="44" t="s">
        <v>276</v>
      </c>
      <c r="E664" s="44">
        <v>15575</v>
      </c>
      <c r="F664" s="44"/>
      <c r="G664" s="44"/>
      <c r="H664" s="44">
        <v>2180</v>
      </c>
    </row>
    <row r="665" spans="1:8">
      <c r="A665" s="45">
        <v>2015</v>
      </c>
      <c r="B665" s="45" t="s">
        <v>109</v>
      </c>
      <c r="C665" s="45" t="s">
        <v>44</v>
      </c>
      <c r="D665" s="45" t="s">
        <v>277</v>
      </c>
      <c r="E665" s="45">
        <v>11352</v>
      </c>
      <c r="F665" s="45"/>
      <c r="G665" s="45"/>
      <c r="H665" s="45">
        <v>1589</v>
      </c>
    </row>
    <row r="666" spans="1:8">
      <c r="A666" s="44">
        <v>2015</v>
      </c>
      <c r="B666" s="44" t="s">
        <v>109</v>
      </c>
      <c r="C666" s="44" t="s">
        <v>44</v>
      </c>
      <c r="D666" s="44" t="s">
        <v>278</v>
      </c>
      <c r="E666" s="44">
        <v>7529</v>
      </c>
      <c r="F666" s="44"/>
      <c r="G666" s="44"/>
      <c r="H666" s="44">
        <v>1054</v>
      </c>
    </row>
    <row r="667" spans="1:8">
      <c r="A667" s="45">
        <v>2015</v>
      </c>
      <c r="B667" s="45" t="s">
        <v>109</v>
      </c>
      <c r="C667" s="45" t="s">
        <v>44</v>
      </c>
      <c r="D667" s="45" t="s">
        <v>279</v>
      </c>
      <c r="E667" s="45">
        <v>6122</v>
      </c>
      <c r="F667" s="45"/>
      <c r="G667" s="45"/>
      <c r="H667" s="45">
        <v>857</v>
      </c>
    </row>
    <row r="668" spans="1:8">
      <c r="A668" s="44">
        <v>2015</v>
      </c>
      <c r="B668" s="44" t="s">
        <v>109</v>
      </c>
      <c r="C668" s="44" t="s">
        <v>44</v>
      </c>
      <c r="D668" s="44" t="s">
        <v>280</v>
      </c>
      <c r="E668" s="44">
        <v>4788</v>
      </c>
      <c r="F668" s="44"/>
      <c r="G668" s="44"/>
      <c r="H668" s="44">
        <v>670</v>
      </c>
    </row>
    <row r="669" spans="1:8">
      <c r="A669" s="45">
        <v>2015</v>
      </c>
      <c r="B669" s="45" t="s">
        <v>109</v>
      </c>
      <c r="C669" s="45" t="s">
        <v>44</v>
      </c>
      <c r="D669" s="45" t="s">
        <v>281</v>
      </c>
      <c r="E669" s="45">
        <v>3681</v>
      </c>
      <c r="F669" s="45"/>
      <c r="G669" s="45"/>
      <c r="H669" s="45">
        <v>625</v>
      </c>
    </row>
    <row r="670" spans="1:8">
      <c r="A670" s="44">
        <v>2015</v>
      </c>
      <c r="B670" s="44" t="s">
        <v>109</v>
      </c>
      <c r="C670" s="44" t="s">
        <v>44</v>
      </c>
      <c r="D670" s="44" t="s">
        <v>285</v>
      </c>
      <c r="E670" s="44">
        <v>3988</v>
      </c>
      <c r="F670" s="44"/>
      <c r="G670" s="44"/>
      <c r="H670" s="44">
        <v>677</v>
      </c>
    </row>
    <row r="671" spans="1:8">
      <c r="A671" s="45">
        <v>2015</v>
      </c>
      <c r="B671" s="45" t="s">
        <v>108</v>
      </c>
      <c r="C671" s="45" t="s">
        <v>44</v>
      </c>
      <c r="D671" s="45" t="s">
        <v>267</v>
      </c>
      <c r="E671" s="45">
        <v>84509</v>
      </c>
      <c r="F671" s="45"/>
      <c r="G671" s="45"/>
      <c r="H671" s="45">
        <v>14366</v>
      </c>
    </row>
    <row r="672" spans="1:8">
      <c r="A672" s="44">
        <v>2015</v>
      </c>
      <c r="B672" s="44" t="s">
        <v>108</v>
      </c>
      <c r="C672" s="44" t="s">
        <v>44</v>
      </c>
      <c r="D672" s="44" t="s">
        <v>268</v>
      </c>
      <c r="E672" s="44">
        <v>71205</v>
      </c>
      <c r="F672" s="44"/>
      <c r="G672" s="44"/>
      <c r="H672" s="44">
        <v>9968</v>
      </c>
    </row>
    <row r="673" spans="1:8">
      <c r="A673" s="45">
        <v>2015</v>
      </c>
      <c r="B673" s="45" t="s">
        <v>108</v>
      </c>
      <c r="C673" s="45" t="s">
        <v>44</v>
      </c>
      <c r="D673" s="45" t="s">
        <v>269</v>
      </c>
      <c r="E673" s="45">
        <v>53737</v>
      </c>
      <c r="F673" s="45"/>
      <c r="G673" s="45"/>
      <c r="H673" s="45">
        <v>7523</v>
      </c>
    </row>
    <row r="674" spans="1:8">
      <c r="A674" s="44">
        <v>2015</v>
      </c>
      <c r="B674" s="44" t="s">
        <v>108</v>
      </c>
      <c r="C674" s="44" t="s">
        <v>44</v>
      </c>
      <c r="D674" s="44" t="s">
        <v>254</v>
      </c>
      <c r="E674" s="44">
        <v>47461</v>
      </c>
      <c r="F674" s="44"/>
      <c r="G674" s="44"/>
      <c r="H674" s="44">
        <v>6644</v>
      </c>
    </row>
    <row r="675" spans="1:8">
      <c r="A675" s="45">
        <v>2015</v>
      </c>
      <c r="B675" s="45" t="s">
        <v>108</v>
      </c>
      <c r="C675" s="45" t="s">
        <v>44</v>
      </c>
      <c r="D675" s="45" t="s">
        <v>270</v>
      </c>
      <c r="E675" s="45">
        <v>37756</v>
      </c>
      <c r="F675" s="45"/>
      <c r="G675" s="45"/>
      <c r="H675" s="45">
        <v>5285</v>
      </c>
    </row>
    <row r="676" spans="1:8">
      <c r="A676" s="44">
        <v>2015</v>
      </c>
      <c r="B676" s="44" t="s">
        <v>108</v>
      </c>
      <c r="C676" s="44" t="s">
        <v>44</v>
      </c>
      <c r="D676" s="44" t="s">
        <v>271</v>
      </c>
      <c r="E676" s="44">
        <v>25068</v>
      </c>
      <c r="F676" s="44"/>
      <c r="G676" s="44"/>
      <c r="H676" s="44">
        <v>3509</v>
      </c>
    </row>
    <row r="677" spans="1:8">
      <c r="A677" s="45">
        <v>2015</v>
      </c>
      <c r="B677" s="45" t="s">
        <v>108</v>
      </c>
      <c r="C677" s="45" t="s">
        <v>44</v>
      </c>
      <c r="D677" s="45" t="s">
        <v>272</v>
      </c>
      <c r="E677" s="45">
        <v>21674</v>
      </c>
      <c r="F677" s="45"/>
      <c r="G677" s="45"/>
      <c r="H677" s="45">
        <v>3034</v>
      </c>
    </row>
    <row r="678" spans="1:8">
      <c r="A678" s="44">
        <v>2015</v>
      </c>
      <c r="B678" s="44" t="s">
        <v>108</v>
      </c>
      <c r="C678" s="44" t="s">
        <v>44</v>
      </c>
      <c r="D678" s="44" t="s">
        <v>273</v>
      </c>
      <c r="E678" s="44">
        <v>18146</v>
      </c>
      <c r="F678" s="44"/>
      <c r="G678" s="44"/>
      <c r="H678" s="44">
        <v>2540</v>
      </c>
    </row>
    <row r="679" spans="1:8">
      <c r="A679" s="45">
        <v>2015</v>
      </c>
      <c r="B679" s="45" t="s">
        <v>108</v>
      </c>
      <c r="C679" s="45" t="s">
        <v>44</v>
      </c>
      <c r="D679" s="45" t="s">
        <v>274</v>
      </c>
      <c r="E679" s="45">
        <v>14948</v>
      </c>
      <c r="F679" s="45"/>
      <c r="G679" s="45"/>
      <c r="H679" s="45">
        <v>2092</v>
      </c>
    </row>
    <row r="680" spans="1:8">
      <c r="A680" s="44">
        <v>2015</v>
      </c>
      <c r="B680" s="44" t="s">
        <v>108</v>
      </c>
      <c r="C680" s="44" t="s">
        <v>44</v>
      </c>
      <c r="D680" s="44" t="s">
        <v>275</v>
      </c>
      <c r="E680" s="44">
        <v>11336</v>
      </c>
      <c r="F680" s="44"/>
      <c r="G680" s="44"/>
      <c r="H680" s="44">
        <v>1587</v>
      </c>
    </row>
    <row r="681" spans="1:8">
      <c r="A681" s="45">
        <v>2015</v>
      </c>
      <c r="B681" s="45" t="s">
        <v>108</v>
      </c>
      <c r="C681" s="45" t="s">
        <v>44</v>
      </c>
      <c r="D681" s="45" t="s">
        <v>276</v>
      </c>
      <c r="E681" s="45">
        <v>8609</v>
      </c>
      <c r="F681" s="45"/>
      <c r="G681" s="45"/>
      <c r="H681" s="45">
        <v>1205</v>
      </c>
    </row>
    <row r="682" spans="1:8">
      <c r="A682" s="44">
        <v>2015</v>
      </c>
      <c r="B682" s="44" t="s">
        <v>108</v>
      </c>
      <c r="C682" s="44" t="s">
        <v>44</v>
      </c>
      <c r="D682" s="44" t="s">
        <v>277</v>
      </c>
      <c r="E682" s="44">
        <v>5959</v>
      </c>
      <c r="F682" s="44"/>
      <c r="G682" s="44"/>
      <c r="H682" s="44">
        <v>834</v>
      </c>
    </row>
    <row r="683" spans="1:8">
      <c r="A683" s="45">
        <v>2015</v>
      </c>
      <c r="B683" s="45" t="s">
        <v>108</v>
      </c>
      <c r="C683" s="45" t="s">
        <v>44</v>
      </c>
      <c r="D683" s="45" t="s">
        <v>278</v>
      </c>
      <c r="E683" s="45">
        <v>4168</v>
      </c>
      <c r="F683" s="45"/>
      <c r="G683" s="45"/>
      <c r="H683" s="45">
        <v>583</v>
      </c>
    </row>
    <row r="684" spans="1:8">
      <c r="A684" s="44">
        <v>2015</v>
      </c>
      <c r="B684" s="44" t="s">
        <v>108</v>
      </c>
      <c r="C684" s="44" t="s">
        <v>44</v>
      </c>
      <c r="D684" s="44" t="s">
        <v>279</v>
      </c>
      <c r="E684" s="44">
        <v>3264</v>
      </c>
      <c r="F684" s="44"/>
      <c r="G684" s="44"/>
      <c r="H684" s="44">
        <v>456</v>
      </c>
    </row>
    <row r="685" spans="1:8">
      <c r="A685" s="45">
        <v>2015</v>
      </c>
      <c r="B685" s="45" t="s">
        <v>108</v>
      </c>
      <c r="C685" s="45" t="s">
        <v>44</v>
      </c>
      <c r="D685" s="45" t="s">
        <v>280</v>
      </c>
      <c r="E685" s="45">
        <v>2353</v>
      </c>
      <c r="F685" s="45"/>
      <c r="G685" s="45"/>
      <c r="H685" s="45">
        <v>329</v>
      </c>
    </row>
    <row r="686" spans="1:8">
      <c r="A686" s="44">
        <v>2015</v>
      </c>
      <c r="B686" s="44" t="s">
        <v>108</v>
      </c>
      <c r="C686" s="44" t="s">
        <v>44</v>
      </c>
      <c r="D686" s="44" t="s">
        <v>281</v>
      </c>
      <c r="E686" s="44">
        <v>1946</v>
      </c>
      <c r="F686" s="44"/>
      <c r="G686" s="44"/>
      <c r="H686" s="44">
        <v>330</v>
      </c>
    </row>
    <row r="687" spans="1:8">
      <c r="A687" s="45">
        <v>2015</v>
      </c>
      <c r="B687" s="45" t="s">
        <v>108</v>
      </c>
      <c r="C687" s="45" t="s">
        <v>44</v>
      </c>
      <c r="D687" s="45" t="s">
        <v>285</v>
      </c>
      <c r="E687" s="45">
        <v>3102</v>
      </c>
      <c r="F687" s="45"/>
      <c r="G687" s="45"/>
      <c r="H687" s="45">
        <v>527</v>
      </c>
    </row>
    <row r="688" spans="1:8">
      <c r="A688" s="44">
        <v>2015</v>
      </c>
      <c r="B688" s="44" t="s">
        <v>110</v>
      </c>
      <c r="C688" s="44" t="s">
        <v>44</v>
      </c>
      <c r="D688" s="44" t="s">
        <v>267</v>
      </c>
      <c r="E688" s="44">
        <v>177953</v>
      </c>
      <c r="F688" s="44"/>
      <c r="G688" s="44"/>
      <c r="H688" s="44">
        <v>30252</v>
      </c>
    </row>
    <row r="689" spans="1:8">
      <c r="A689" s="45">
        <v>2015</v>
      </c>
      <c r="B689" s="45" t="s">
        <v>110</v>
      </c>
      <c r="C689" s="45" t="s">
        <v>44</v>
      </c>
      <c r="D689" s="45" t="s">
        <v>268</v>
      </c>
      <c r="E689" s="45">
        <v>149639</v>
      </c>
      <c r="F689" s="45"/>
      <c r="G689" s="45"/>
      <c r="H689" s="45">
        <v>20949</v>
      </c>
    </row>
    <row r="690" spans="1:8">
      <c r="A690" s="44">
        <v>2015</v>
      </c>
      <c r="B690" s="44" t="s">
        <v>110</v>
      </c>
      <c r="C690" s="44" t="s">
        <v>44</v>
      </c>
      <c r="D690" s="44" t="s">
        <v>269</v>
      </c>
      <c r="E690" s="44">
        <v>118407</v>
      </c>
      <c r="F690" s="44"/>
      <c r="G690" s="44"/>
      <c r="H690" s="44">
        <v>16576</v>
      </c>
    </row>
    <row r="691" spans="1:8">
      <c r="A691" s="45">
        <v>2015</v>
      </c>
      <c r="B691" s="45" t="s">
        <v>110</v>
      </c>
      <c r="C691" s="45" t="s">
        <v>44</v>
      </c>
      <c r="D691" s="45" t="s">
        <v>254</v>
      </c>
      <c r="E691" s="45">
        <v>104991</v>
      </c>
      <c r="F691" s="45"/>
      <c r="G691" s="45"/>
      <c r="H691" s="45">
        <v>14698</v>
      </c>
    </row>
    <row r="692" spans="1:8">
      <c r="A692" s="44">
        <v>2015</v>
      </c>
      <c r="B692" s="44" t="s">
        <v>110</v>
      </c>
      <c r="C692" s="44" t="s">
        <v>44</v>
      </c>
      <c r="D692" s="44" t="s">
        <v>270</v>
      </c>
      <c r="E692" s="44">
        <v>91101</v>
      </c>
      <c r="F692" s="44"/>
      <c r="G692" s="44"/>
      <c r="H692" s="44">
        <v>12754</v>
      </c>
    </row>
    <row r="693" spans="1:8">
      <c r="A693" s="45">
        <v>2015</v>
      </c>
      <c r="B693" s="45" t="s">
        <v>110</v>
      </c>
      <c r="C693" s="45" t="s">
        <v>44</v>
      </c>
      <c r="D693" s="45" t="s">
        <v>271</v>
      </c>
      <c r="E693" s="45">
        <v>63953</v>
      </c>
      <c r="F693" s="45"/>
      <c r="G693" s="45"/>
      <c r="H693" s="45">
        <v>8953</v>
      </c>
    </row>
    <row r="694" spans="1:8">
      <c r="A694" s="44">
        <v>2015</v>
      </c>
      <c r="B694" s="44" t="s">
        <v>110</v>
      </c>
      <c r="C694" s="44" t="s">
        <v>44</v>
      </c>
      <c r="D694" s="44" t="s">
        <v>272</v>
      </c>
      <c r="E694" s="44">
        <v>50568</v>
      </c>
      <c r="F694" s="44"/>
      <c r="G694" s="44"/>
      <c r="H694" s="44">
        <v>7079</v>
      </c>
    </row>
    <row r="695" spans="1:8">
      <c r="A695" s="45">
        <v>2015</v>
      </c>
      <c r="B695" s="45" t="s">
        <v>110</v>
      </c>
      <c r="C695" s="45" t="s">
        <v>44</v>
      </c>
      <c r="D695" s="45" t="s">
        <v>273</v>
      </c>
      <c r="E695" s="45">
        <v>43228</v>
      </c>
      <c r="F695" s="45"/>
      <c r="G695" s="45"/>
      <c r="H695" s="45">
        <v>6051</v>
      </c>
    </row>
    <row r="696" spans="1:8">
      <c r="A696" s="44">
        <v>2015</v>
      </c>
      <c r="B696" s="44" t="s">
        <v>110</v>
      </c>
      <c r="C696" s="44" t="s">
        <v>44</v>
      </c>
      <c r="D696" s="44" t="s">
        <v>274</v>
      </c>
      <c r="E696" s="44">
        <v>35044</v>
      </c>
      <c r="F696" s="44"/>
      <c r="G696" s="44"/>
      <c r="H696" s="44">
        <v>4906</v>
      </c>
    </row>
    <row r="697" spans="1:8">
      <c r="A697" s="45">
        <v>2015</v>
      </c>
      <c r="B697" s="45" t="s">
        <v>110</v>
      </c>
      <c r="C697" s="45" t="s">
        <v>44</v>
      </c>
      <c r="D697" s="45" t="s">
        <v>275</v>
      </c>
      <c r="E697" s="45">
        <v>23621</v>
      </c>
      <c r="F697" s="45"/>
      <c r="G697" s="45"/>
      <c r="H697" s="45">
        <v>3306</v>
      </c>
    </row>
    <row r="698" spans="1:8">
      <c r="A698" s="44">
        <v>2015</v>
      </c>
      <c r="B698" s="44" t="s">
        <v>110</v>
      </c>
      <c r="C698" s="44" t="s">
        <v>44</v>
      </c>
      <c r="D698" s="44" t="s">
        <v>276</v>
      </c>
      <c r="E698" s="44">
        <v>17732</v>
      </c>
      <c r="F698" s="44"/>
      <c r="G698" s="44"/>
      <c r="H698" s="44">
        <v>2482</v>
      </c>
    </row>
    <row r="699" spans="1:8">
      <c r="A699" s="45">
        <v>2015</v>
      </c>
      <c r="B699" s="45" t="s">
        <v>110</v>
      </c>
      <c r="C699" s="45" t="s">
        <v>44</v>
      </c>
      <c r="D699" s="45" t="s">
        <v>277</v>
      </c>
      <c r="E699" s="45">
        <v>12670</v>
      </c>
      <c r="F699" s="45"/>
      <c r="G699" s="45"/>
      <c r="H699" s="45">
        <v>1773</v>
      </c>
    </row>
    <row r="700" spans="1:8">
      <c r="A700" s="44">
        <v>2015</v>
      </c>
      <c r="B700" s="44" t="s">
        <v>110</v>
      </c>
      <c r="C700" s="44" t="s">
        <v>44</v>
      </c>
      <c r="D700" s="44" t="s">
        <v>278</v>
      </c>
      <c r="E700" s="44">
        <v>7954</v>
      </c>
      <c r="F700" s="44"/>
      <c r="G700" s="44"/>
      <c r="H700" s="44">
        <v>1113</v>
      </c>
    </row>
    <row r="701" spans="1:8">
      <c r="A701" s="45">
        <v>2015</v>
      </c>
      <c r="B701" s="45" t="s">
        <v>110</v>
      </c>
      <c r="C701" s="45" t="s">
        <v>44</v>
      </c>
      <c r="D701" s="45" t="s">
        <v>279</v>
      </c>
      <c r="E701" s="45">
        <v>6231</v>
      </c>
      <c r="F701" s="45"/>
      <c r="G701" s="45"/>
      <c r="H701" s="45">
        <v>872</v>
      </c>
    </row>
    <row r="702" spans="1:8">
      <c r="A702" s="44">
        <v>2015</v>
      </c>
      <c r="B702" s="44" t="s">
        <v>110</v>
      </c>
      <c r="C702" s="44" t="s">
        <v>44</v>
      </c>
      <c r="D702" s="44" t="s">
        <v>280</v>
      </c>
      <c r="E702" s="44">
        <v>4465</v>
      </c>
      <c r="F702" s="44"/>
      <c r="G702" s="44"/>
      <c r="H702" s="44">
        <v>625</v>
      </c>
    </row>
    <row r="703" spans="1:8">
      <c r="A703" s="45">
        <v>2015</v>
      </c>
      <c r="B703" s="45" t="s">
        <v>110</v>
      </c>
      <c r="C703" s="45" t="s">
        <v>44</v>
      </c>
      <c r="D703" s="45" t="s">
        <v>281</v>
      </c>
      <c r="E703" s="45">
        <v>3208</v>
      </c>
      <c r="F703" s="45"/>
      <c r="G703" s="45"/>
      <c r="H703" s="45">
        <v>545</v>
      </c>
    </row>
    <row r="704" spans="1:8">
      <c r="A704" s="44">
        <v>2015</v>
      </c>
      <c r="B704" s="44" t="s">
        <v>110</v>
      </c>
      <c r="C704" s="44" t="s">
        <v>44</v>
      </c>
      <c r="D704" s="44" t="s">
        <v>285</v>
      </c>
      <c r="E704" s="44">
        <v>4722</v>
      </c>
      <c r="F704" s="44"/>
      <c r="G704" s="44"/>
      <c r="H704" s="44">
        <v>802</v>
      </c>
    </row>
    <row r="705" spans="1:8">
      <c r="A705" s="45">
        <v>2015</v>
      </c>
      <c r="B705" s="45" t="s">
        <v>111</v>
      </c>
      <c r="C705" s="45" t="s">
        <v>44</v>
      </c>
      <c r="D705" s="45" t="s">
        <v>267</v>
      </c>
      <c r="E705" s="45">
        <v>91257</v>
      </c>
      <c r="F705" s="45"/>
      <c r="G705" s="45"/>
      <c r="H705" s="45">
        <v>15513</v>
      </c>
    </row>
    <row r="706" spans="1:8">
      <c r="A706" s="44">
        <v>2015</v>
      </c>
      <c r="B706" s="44" t="s">
        <v>111</v>
      </c>
      <c r="C706" s="44" t="s">
        <v>44</v>
      </c>
      <c r="D706" s="44" t="s">
        <v>268</v>
      </c>
      <c r="E706" s="44">
        <v>82278</v>
      </c>
      <c r="F706" s="44"/>
      <c r="G706" s="44"/>
      <c r="H706" s="44">
        <v>11518</v>
      </c>
    </row>
    <row r="707" spans="1:8">
      <c r="A707" s="45">
        <v>2015</v>
      </c>
      <c r="B707" s="45" t="s">
        <v>111</v>
      </c>
      <c r="C707" s="45" t="s">
        <v>44</v>
      </c>
      <c r="D707" s="45" t="s">
        <v>269</v>
      </c>
      <c r="E707" s="45">
        <v>68895</v>
      </c>
      <c r="F707" s="45"/>
      <c r="G707" s="45"/>
      <c r="H707" s="45">
        <v>9645</v>
      </c>
    </row>
    <row r="708" spans="1:8">
      <c r="A708" s="44">
        <v>2015</v>
      </c>
      <c r="B708" s="44" t="s">
        <v>111</v>
      </c>
      <c r="C708" s="44" t="s">
        <v>44</v>
      </c>
      <c r="D708" s="44" t="s">
        <v>254</v>
      </c>
      <c r="E708" s="44">
        <v>54807</v>
      </c>
      <c r="F708" s="44"/>
      <c r="G708" s="44"/>
      <c r="H708" s="44">
        <v>7672</v>
      </c>
    </row>
    <row r="709" spans="1:8">
      <c r="A709" s="45">
        <v>2015</v>
      </c>
      <c r="B709" s="45" t="s">
        <v>111</v>
      </c>
      <c r="C709" s="45" t="s">
        <v>44</v>
      </c>
      <c r="D709" s="45" t="s">
        <v>270</v>
      </c>
      <c r="E709" s="45">
        <v>42130</v>
      </c>
      <c r="F709" s="45"/>
      <c r="G709" s="45"/>
      <c r="H709" s="45">
        <v>5898</v>
      </c>
    </row>
    <row r="710" spans="1:8">
      <c r="A710" s="44">
        <v>2015</v>
      </c>
      <c r="B710" s="44" t="s">
        <v>111</v>
      </c>
      <c r="C710" s="44" t="s">
        <v>44</v>
      </c>
      <c r="D710" s="44" t="s">
        <v>271</v>
      </c>
      <c r="E710" s="44">
        <v>27565</v>
      </c>
      <c r="F710" s="44"/>
      <c r="G710" s="44"/>
      <c r="H710" s="44">
        <v>3859</v>
      </c>
    </row>
    <row r="711" spans="1:8">
      <c r="A711" s="45">
        <v>2015</v>
      </c>
      <c r="B711" s="45" t="s">
        <v>111</v>
      </c>
      <c r="C711" s="45" t="s">
        <v>44</v>
      </c>
      <c r="D711" s="45" t="s">
        <v>272</v>
      </c>
      <c r="E711" s="45">
        <v>23419</v>
      </c>
      <c r="F711" s="45"/>
      <c r="G711" s="45"/>
      <c r="H711" s="45">
        <v>3278</v>
      </c>
    </row>
    <row r="712" spans="1:8">
      <c r="A712" s="44">
        <v>2015</v>
      </c>
      <c r="B712" s="44" t="s">
        <v>111</v>
      </c>
      <c r="C712" s="44" t="s">
        <v>44</v>
      </c>
      <c r="D712" s="44" t="s">
        <v>273</v>
      </c>
      <c r="E712" s="44">
        <v>19772</v>
      </c>
      <c r="F712" s="44"/>
      <c r="G712" s="44"/>
      <c r="H712" s="44">
        <v>2768</v>
      </c>
    </row>
    <row r="713" spans="1:8">
      <c r="A713" s="45">
        <v>2015</v>
      </c>
      <c r="B713" s="45" t="s">
        <v>111</v>
      </c>
      <c r="C713" s="45" t="s">
        <v>44</v>
      </c>
      <c r="D713" s="45" t="s">
        <v>274</v>
      </c>
      <c r="E713" s="45">
        <v>16524</v>
      </c>
      <c r="F713" s="45"/>
      <c r="G713" s="45"/>
      <c r="H713" s="45">
        <v>2313</v>
      </c>
    </row>
    <row r="714" spans="1:8">
      <c r="A714" s="44">
        <v>2015</v>
      </c>
      <c r="B714" s="44" t="s">
        <v>111</v>
      </c>
      <c r="C714" s="44" t="s">
        <v>44</v>
      </c>
      <c r="D714" s="44" t="s">
        <v>275</v>
      </c>
      <c r="E714" s="44">
        <v>12304</v>
      </c>
      <c r="F714" s="44"/>
      <c r="G714" s="44"/>
      <c r="H714" s="44">
        <v>1722</v>
      </c>
    </row>
    <row r="715" spans="1:8">
      <c r="A715" s="45">
        <v>2015</v>
      </c>
      <c r="B715" s="45" t="s">
        <v>111</v>
      </c>
      <c r="C715" s="45" t="s">
        <v>44</v>
      </c>
      <c r="D715" s="45" t="s">
        <v>276</v>
      </c>
      <c r="E715" s="45">
        <v>9637</v>
      </c>
      <c r="F715" s="45"/>
      <c r="G715" s="45"/>
      <c r="H715" s="45">
        <v>1349</v>
      </c>
    </row>
    <row r="716" spans="1:8">
      <c r="A716" s="44">
        <v>2015</v>
      </c>
      <c r="B716" s="44" t="s">
        <v>111</v>
      </c>
      <c r="C716" s="44" t="s">
        <v>44</v>
      </c>
      <c r="D716" s="44" t="s">
        <v>277</v>
      </c>
      <c r="E716" s="44">
        <v>7809</v>
      </c>
      <c r="F716" s="44"/>
      <c r="G716" s="44"/>
      <c r="H716" s="44">
        <v>1093</v>
      </c>
    </row>
    <row r="717" spans="1:8">
      <c r="A717" s="45">
        <v>2015</v>
      </c>
      <c r="B717" s="45" t="s">
        <v>111</v>
      </c>
      <c r="C717" s="45" t="s">
        <v>44</v>
      </c>
      <c r="D717" s="45" t="s">
        <v>278</v>
      </c>
      <c r="E717" s="45">
        <v>5356</v>
      </c>
      <c r="F717" s="45"/>
      <c r="G717" s="45"/>
      <c r="H717" s="45">
        <v>749</v>
      </c>
    </row>
    <row r="718" spans="1:8">
      <c r="A718" s="44">
        <v>2015</v>
      </c>
      <c r="B718" s="44" t="s">
        <v>111</v>
      </c>
      <c r="C718" s="44" t="s">
        <v>44</v>
      </c>
      <c r="D718" s="44" t="s">
        <v>279</v>
      </c>
      <c r="E718" s="44">
        <v>4729</v>
      </c>
      <c r="F718" s="44"/>
      <c r="G718" s="44"/>
      <c r="H718" s="44">
        <v>662</v>
      </c>
    </row>
    <row r="719" spans="1:8">
      <c r="A719" s="45">
        <v>2015</v>
      </c>
      <c r="B719" s="45" t="s">
        <v>111</v>
      </c>
      <c r="C719" s="45" t="s">
        <v>44</v>
      </c>
      <c r="D719" s="45" t="s">
        <v>280</v>
      </c>
      <c r="E719" s="45">
        <v>3541</v>
      </c>
      <c r="F719" s="45"/>
      <c r="G719" s="45"/>
      <c r="H719" s="45">
        <v>495</v>
      </c>
    </row>
    <row r="720" spans="1:8">
      <c r="A720" s="44">
        <v>2015</v>
      </c>
      <c r="B720" s="44" t="s">
        <v>111</v>
      </c>
      <c r="C720" s="44" t="s">
        <v>44</v>
      </c>
      <c r="D720" s="44" t="s">
        <v>281</v>
      </c>
      <c r="E720" s="44">
        <v>3028</v>
      </c>
      <c r="F720" s="44"/>
      <c r="G720" s="44"/>
      <c r="H720" s="44">
        <v>514</v>
      </c>
    </row>
    <row r="721" spans="1:8">
      <c r="A721" s="45">
        <v>2015</v>
      </c>
      <c r="B721" s="45" t="s">
        <v>111</v>
      </c>
      <c r="C721" s="45" t="s">
        <v>44</v>
      </c>
      <c r="D721" s="45" t="s">
        <v>285</v>
      </c>
      <c r="E721" s="45">
        <v>5229</v>
      </c>
      <c r="F721" s="45"/>
      <c r="G721" s="45"/>
      <c r="H721" s="45">
        <v>888</v>
      </c>
    </row>
    <row r="722" spans="1:8">
      <c r="A722" s="44"/>
      <c r="B722" s="44"/>
      <c r="C722" s="44"/>
      <c r="D722" s="44"/>
      <c r="E722" s="44"/>
      <c r="F722" s="44"/>
      <c r="G722" s="44"/>
      <c r="H722" s="44"/>
    </row>
    <row r="723" spans="1:8">
      <c r="A723" s="45"/>
      <c r="B723" s="45"/>
      <c r="C723" s="45"/>
      <c r="D723" s="45"/>
      <c r="E723" s="45"/>
      <c r="F723" s="45"/>
      <c r="G723" s="45"/>
      <c r="H723" s="45"/>
    </row>
    <row r="724" spans="1:8">
      <c r="A724" s="44"/>
      <c r="B724" s="44"/>
      <c r="C724" s="44"/>
      <c r="D724" s="44"/>
      <c r="E724" s="44"/>
      <c r="F724" s="44"/>
      <c r="G724" s="44"/>
      <c r="H724" s="44"/>
    </row>
    <row r="725" spans="1:8">
      <c r="A725" s="45"/>
      <c r="B725" s="45"/>
      <c r="C725" s="45"/>
      <c r="D725" s="45"/>
      <c r="E725" s="45"/>
      <c r="F725" s="45"/>
      <c r="G725" s="45"/>
      <c r="H725" s="45"/>
    </row>
    <row r="726" spans="1:8">
      <c r="A726" s="44"/>
      <c r="B726" s="44"/>
      <c r="C726" s="44"/>
      <c r="D726" s="44"/>
      <c r="E726" s="44"/>
      <c r="F726" s="44"/>
      <c r="G726" s="44"/>
      <c r="H726" s="44"/>
    </row>
    <row r="727" spans="1:8">
      <c r="A727" s="45"/>
      <c r="B727" s="45"/>
      <c r="C727" s="45"/>
      <c r="D727" s="45"/>
      <c r="E727" s="45"/>
      <c r="F727" s="45"/>
      <c r="G727" s="45"/>
      <c r="H727" s="45"/>
    </row>
    <row r="728" spans="1:8">
      <c r="A728" s="44"/>
      <c r="B728" s="44"/>
      <c r="C728" s="44"/>
      <c r="D728" s="44"/>
      <c r="E728" s="44"/>
      <c r="F728" s="44"/>
      <c r="G728" s="44"/>
      <c r="H728" s="44"/>
    </row>
    <row r="729" spans="1:8">
      <c r="A729" s="45"/>
      <c r="B729" s="45"/>
      <c r="C729" s="45"/>
      <c r="D729" s="45"/>
      <c r="E729" s="45"/>
      <c r="F729" s="45"/>
      <c r="G729" s="45"/>
      <c r="H729" s="4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42359-A61B-D240-B57B-B07E7194A3BB}">
  <dimension ref="A1:L1008"/>
  <sheetViews>
    <sheetView workbookViewId="0">
      <selection activeCell="D41" sqref="D41"/>
    </sheetView>
  </sheetViews>
  <sheetFormatPr defaultColWidth="10.83984375" defaultRowHeight="14.4"/>
  <cols>
    <col min="1" max="1" width="11.83984375" style="42" bestFit="1" customWidth="1"/>
    <col min="2" max="16384" width="10.83984375" style="42"/>
  </cols>
  <sheetData>
    <row r="1" spans="1:12">
      <c r="A1" s="41" t="s">
        <v>256</v>
      </c>
      <c r="B1" s="41" t="s">
        <v>251</v>
      </c>
      <c r="G1" s="43" t="s">
        <v>262</v>
      </c>
    </row>
    <row r="3" spans="1:12">
      <c r="A3" s="43" t="s">
        <v>257</v>
      </c>
    </row>
    <row r="4" spans="1:12">
      <c r="A4" s="44" t="s">
        <v>86</v>
      </c>
      <c r="B4" s="44" t="s">
        <v>263</v>
      </c>
      <c r="C4" s="44" t="s">
        <v>264</v>
      </c>
      <c r="D4" s="44" t="s">
        <v>265</v>
      </c>
      <c r="E4" s="44"/>
      <c r="F4" s="44"/>
      <c r="G4" s="44"/>
      <c r="H4" s="44"/>
      <c r="I4" s="44"/>
      <c r="J4" s="44"/>
      <c r="K4" s="44"/>
      <c r="L4" s="44"/>
    </row>
    <row r="5" spans="1:12">
      <c r="A5" s="43" t="s">
        <v>258</v>
      </c>
    </row>
    <row r="6" spans="1:12">
      <c r="A6" s="46" t="s">
        <v>259</v>
      </c>
      <c r="B6" s="45" t="s">
        <v>260</v>
      </c>
      <c r="C6" s="45" t="s">
        <v>261</v>
      </c>
      <c r="D6" s="45"/>
      <c r="E6" s="45"/>
      <c r="F6" s="45"/>
      <c r="G6" s="45"/>
      <c r="H6" s="45"/>
      <c r="I6" s="45"/>
      <c r="J6" s="45"/>
      <c r="K6" s="45"/>
      <c r="L6" s="45"/>
    </row>
    <row r="8" spans="1:12">
      <c r="A8" s="41" t="s">
        <v>86</v>
      </c>
      <c r="B8" s="41" t="s">
        <v>263</v>
      </c>
      <c r="C8" s="41" t="s">
        <v>264</v>
      </c>
      <c r="D8" s="41" t="s">
        <v>265</v>
      </c>
      <c r="E8" s="41" t="s">
        <v>251</v>
      </c>
      <c r="F8" s="41" t="s">
        <v>259</v>
      </c>
      <c r="G8" s="41" t="s">
        <v>260</v>
      </c>
      <c r="H8" s="41" t="s">
        <v>261</v>
      </c>
      <c r="J8" s="43" t="s">
        <v>266</v>
      </c>
    </row>
    <row r="9" spans="1:12">
      <c r="A9" s="45">
        <v>2002</v>
      </c>
      <c r="B9" s="45" t="s">
        <v>102</v>
      </c>
      <c r="C9" s="45" t="s">
        <v>43</v>
      </c>
      <c r="D9" s="45" t="s">
        <v>255</v>
      </c>
      <c r="E9" s="45">
        <v>61.524271634637003</v>
      </c>
      <c r="F9" s="45"/>
      <c r="G9" s="45">
        <v>61.524271634637003</v>
      </c>
      <c r="H9" s="45"/>
    </row>
    <row r="10" spans="1:12">
      <c r="A10" s="44">
        <v>2002</v>
      </c>
      <c r="B10" s="44" t="s">
        <v>103</v>
      </c>
      <c r="C10" s="44" t="s">
        <v>43</v>
      </c>
      <c r="D10" s="44" t="s">
        <v>255</v>
      </c>
      <c r="E10" s="44">
        <v>47.249220066149398</v>
      </c>
      <c r="F10" s="44"/>
      <c r="G10" s="44">
        <v>47.249220066149398</v>
      </c>
      <c r="H10" s="44"/>
    </row>
    <row r="11" spans="1:12">
      <c r="A11" s="45">
        <v>2002</v>
      </c>
      <c r="B11" s="45" t="s">
        <v>104</v>
      </c>
      <c r="C11" s="45" t="s">
        <v>43</v>
      </c>
      <c r="D11" s="45" t="s">
        <v>255</v>
      </c>
      <c r="E11" s="45">
        <v>70.288666402057899</v>
      </c>
      <c r="F11" s="45"/>
      <c r="G11" s="45">
        <v>70.288666402057899</v>
      </c>
      <c r="H11" s="45"/>
    </row>
    <row r="12" spans="1:12">
      <c r="A12" s="44">
        <v>2002</v>
      </c>
      <c r="B12" s="44" t="s">
        <v>105</v>
      </c>
      <c r="C12" s="44" t="s">
        <v>43</v>
      </c>
      <c r="D12" s="44" t="s">
        <v>255</v>
      </c>
      <c r="E12" s="44">
        <v>77.188553643752002</v>
      </c>
      <c r="F12" s="44"/>
      <c r="G12" s="44">
        <v>77.188553643752002</v>
      </c>
      <c r="H12" s="44"/>
    </row>
    <row r="13" spans="1:12">
      <c r="A13" s="45">
        <v>2002</v>
      </c>
      <c r="B13" s="45" t="s">
        <v>106</v>
      </c>
      <c r="C13" s="45" t="s">
        <v>43</v>
      </c>
      <c r="D13" s="45" t="s">
        <v>255</v>
      </c>
      <c r="E13" s="45">
        <v>42.0003105384761</v>
      </c>
      <c r="F13" s="45"/>
      <c r="G13" s="45">
        <v>42.0003105384761</v>
      </c>
      <c r="H13" s="45"/>
    </row>
    <row r="14" spans="1:12">
      <c r="A14" s="44">
        <v>2002</v>
      </c>
      <c r="B14" s="44" t="s">
        <v>109</v>
      </c>
      <c r="C14" s="44" t="s">
        <v>43</v>
      </c>
      <c r="D14" s="44" t="s">
        <v>255</v>
      </c>
      <c r="E14" s="44">
        <v>102.00077634618999</v>
      </c>
      <c r="F14" s="44"/>
      <c r="G14" s="44">
        <v>102.00077634618999</v>
      </c>
      <c r="H14" s="44"/>
    </row>
    <row r="15" spans="1:12">
      <c r="A15" s="45">
        <v>2002</v>
      </c>
      <c r="B15" s="45" t="s">
        <v>287</v>
      </c>
      <c r="C15" s="45" t="s">
        <v>43</v>
      </c>
      <c r="D15" s="45" t="s">
        <v>255</v>
      </c>
      <c r="E15" s="45">
        <v>115.63724584794301</v>
      </c>
      <c r="F15" s="45"/>
      <c r="G15" s="45">
        <v>115.63724584794301</v>
      </c>
      <c r="H15" s="45"/>
    </row>
    <row r="16" spans="1:12">
      <c r="A16" s="44">
        <v>2002</v>
      </c>
      <c r="B16" s="44" t="s">
        <v>110</v>
      </c>
      <c r="C16" s="44" t="s">
        <v>43</v>
      </c>
      <c r="D16" s="44" t="s">
        <v>255</v>
      </c>
      <c r="E16" s="44">
        <v>51.505334824846599</v>
      </c>
      <c r="F16" s="44"/>
      <c r="G16" s="44">
        <v>51.505334824846599</v>
      </c>
      <c r="H16" s="44"/>
    </row>
    <row r="17" spans="1:11">
      <c r="A17" s="45">
        <v>2002</v>
      </c>
      <c r="B17" s="45" t="s">
        <v>111</v>
      </c>
      <c r="C17" s="45" t="s">
        <v>43</v>
      </c>
      <c r="D17" s="45" t="s">
        <v>255</v>
      </c>
      <c r="E17" s="45">
        <v>61.172057009580001</v>
      </c>
      <c r="F17" s="45"/>
      <c r="G17" s="45">
        <v>61.172057009580001</v>
      </c>
      <c r="H17" s="45"/>
      <c r="K17" s="42" t="s">
        <v>138</v>
      </c>
    </row>
    <row r="18" spans="1:11">
      <c r="A18" s="44">
        <v>2002</v>
      </c>
      <c r="B18" s="44" t="s">
        <v>102</v>
      </c>
      <c r="C18" s="44" t="s">
        <v>44</v>
      </c>
      <c r="D18" s="44" t="s">
        <v>255</v>
      </c>
      <c r="E18" s="44">
        <v>76.627445034470298</v>
      </c>
      <c r="F18" s="44"/>
      <c r="G18" s="44">
        <v>76.627445034470298</v>
      </c>
      <c r="H18" s="44"/>
    </row>
    <row r="19" spans="1:11">
      <c r="A19" s="45">
        <v>2002</v>
      </c>
      <c r="B19" s="45" t="s">
        <v>103</v>
      </c>
      <c r="C19" s="45" t="s">
        <v>44</v>
      </c>
      <c r="D19" s="45" t="s">
        <v>255</v>
      </c>
      <c r="E19" s="45">
        <v>59.803916963115697</v>
      </c>
      <c r="F19" s="45"/>
      <c r="G19" s="45">
        <v>59.803916963115697</v>
      </c>
      <c r="H19" s="45"/>
      <c r="J19" s="42" t="s">
        <v>293</v>
      </c>
    </row>
    <row r="20" spans="1:11">
      <c r="A20" s="44">
        <v>2002</v>
      </c>
      <c r="B20" s="44" t="s">
        <v>104</v>
      </c>
      <c r="C20" s="44" t="s">
        <v>44</v>
      </c>
      <c r="D20" s="44" t="s">
        <v>255</v>
      </c>
      <c r="E20" s="44">
        <v>92.909796678354695</v>
      </c>
      <c r="F20" s="44"/>
      <c r="G20" s="44">
        <v>92.909796678354695</v>
      </c>
      <c r="H20" s="44"/>
      <c r="J20" s="42" t="s">
        <v>294</v>
      </c>
    </row>
    <row r="21" spans="1:11">
      <c r="A21" s="45">
        <v>2002</v>
      </c>
      <c r="B21" s="45" t="s">
        <v>105</v>
      </c>
      <c r="C21" s="45" t="s">
        <v>44</v>
      </c>
      <c r="D21" s="45" t="s">
        <v>255</v>
      </c>
      <c r="E21" s="45">
        <v>118.27997249556999</v>
      </c>
      <c r="F21" s="45"/>
      <c r="G21" s="45">
        <v>118.27997249556999</v>
      </c>
      <c r="H21" s="45"/>
      <c r="J21" s="42" t="s">
        <v>295</v>
      </c>
    </row>
    <row r="22" spans="1:11">
      <c r="A22" s="44">
        <v>2002</v>
      </c>
      <c r="B22" s="44" t="s">
        <v>106</v>
      </c>
      <c r="C22" s="44" t="s">
        <v>44</v>
      </c>
      <c r="D22" s="44" t="s">
        <v>255</v>
      </c>
      <c r="E22" s="44">
        <v>1541.5505161854601</v>
      </c>
      <c r="F22" s="44"/>
      <c r="G22" s="44">
        <v>1541.5505161854601</v>
      </c>
      <c r="H22" s="44"/>
    </row>
    <row r="23" spans="1:11">
      <c r="A23" s="45">
        <v>2002</v>
      </c>
      <c r="B23" s="45" t="s">
        <v>109</v>
      </c>
      <c r="C23" s="45" t="s">
        <v>44</v>
      </c>
      <c r="D23" s="45" t="s">
        <v>255</v>
      </c>
      <c r="E23" s="45">
        <v>163.29157475192</v>
      </c>
      <c r="F23" s="45"/>
      <c r="G23" s="45">
        <v>163.29157475192</v>
      </c>
      <c r="H23" s="45"/>
    </row>
    <row r="24" spans="1:11">
      <c r="A24" s="44">
        <v>2002</v>
      </c>
      <c r="B24" s="44" t="s">
        <v>287</v>
      </c>
      <c r="C24" s="44" t="s">
        <v>44</v>
      </c>
      <c r="D24" s="44" t="s">
        <v>255</v>
      </c>
      <c r="E24" s="44">
        <v>107.263975101253</v>
      </c>
      <c r="F24" s="44"/>
      <c r="G24" s="44">
        <v>107.263975101253</v>
      </c>
      <c r="H24" s="44"/>
    </row>
    <row r="25" spans="1:11">
      <c r="A25" s="45">
        <v>2002</v>
      </c>
      <c r="B25" s="45" t="s">
        <v>110</v>
      </c>
      <c r="C25" s="45" t="s">
        <v>44</v>
      </c>
      <c r="D25" s="45" t="s">
        <v>255</v>
      </c>
      <c r="E25" s="45">
        <v>183.76017735330399</v>
      </c>
      <c r="F25" s="45"/>
      <c r="G25" s="45">
        <v>183.76017735330399</v>
      </c>
      <c r="H25" s="45"/>
    </row>
    <row r="26" spans="1:11">
      <c r="A26" s="44">
        <v>2002</v>
      </c>
      <c r="B26" s="44" t="s">
        <v>111</v>
      </c>
      <c r="C26" s="44" t="s">
        <v>44</v>
      </c>
      <c r="D26" s="44" t="s">
        <v>255</v>
      </c>
      <c r="E26" s="44">
        <v>122.482863067699</v>
      </c>
      <c r="F26" s="44"/>
      <c r="G26" s="44">
        <v>122.482863067699</v>
      </c>
      <c r="H26" s="44"/>
    </row>
    <row r="27" spans="1:11">
      <c r="A27" s="45">
        <v>2007</v>
      </c>
      <c r="B27" s="45" t="s">
        <v>102</v>
      </c>
      <c r="C27" s="45" t="s">
        <v>43</v>
      </c>
      <c r="D27" s="45" t="s">
        <v>255</v>
      </c>
      <c r="E27" s="45">
        <v>304.09352378138402</v>
      </c>
      <c r="F27" s="45"/>
      <c r="G27" s="45">
        <v>304.09352378138402</v>
      </c>
      <c r="H27" s="45"/>
    </row>
    <row r="28" spans="1:11">
      <c r="A28" s="44">
        <v>2007</v>
      </c>
      <c r="B28" s="44" t="s">
        <v>103</v>
      </c>
      <c r="C28" s="44" t="s">
        <v>43</v>
      </c>
      <c r="D28" s="44" t="s">
        <v>255</v>
      </c>
      <c r="E28" s="44">
        <v>295.68662234422999</v>
      </c>
      <c r="F28" s="44"/>
      <c r="G28" s="44">
        <v>295.68662234422999</v>
      </c>
      <c r="H28" s="44"/>
    </row>
    <row r="29" spans="1:11">
      <c r="A29" s="45">
        <v>2007</v>
      </c>
      <c r="B29" s="45" t="s">
        <v>104</v>
      </c>
      <c r="C29" s="45" t="s">
        <v>43</v>
      </c>
      <c r="D29" s="45" t="s">
        <v>255</v>
      </c>
      <c r="E29" s="45">
        <v>306.38316192723801</v>
      </c>
      <c r="F29" s="45"/>
      <c r="G29" s="45">
        <v>306.38316192723801</v>
      </c>
      <c r="H29" s="45"/>
    </row>
    <row r="30" spans="1:11">
      <c r="A30" s="44">
        <v>2007</v>
      </c>
      <c r="B30" s="44" t="s">
        <v>105</v>
      </c>
      <c r="C30" s="44" t="s">
        <v>43</v>
      </c>
      <c r="D30" s="44" t="s">
        <v>255</v>
      </c>
      <c r="E30" s="44">
        <v>316.94690556939003</v>
      </c>
      <c r="F30" s="44"/>
      <c r="G30" s="44">
        <v>316.94690556939003</v>
      </c>
      <c r="H30" s="44"/>
    </row>
    <row r="31" spans="1:11">
      <c r="A31" s="45">
        <v>2007</v>
      </c>
      <c r="B31" s="45" t="s">
        <v>106</v>
      </c>
      <c r="C31" s="45" t="s">
        <v>43</v>
      </c>
      <c r="D31" s="45" t="s">
        <v>255</v>
      </c>
      <c r="E31" s="45">
        <v>261.16873150479302</v>
      </c>
      <c r="F31" s="45"/>
      <c r="G31" s="45">
        <v>261.16873150479302</v>
      </c>
      <c r="H31" s="45"/>
    </row>
    <row r="32" spans="1:11">
      <c r="A32" s="44">
        <v>2007</v>
      </c>
      <c r="B32" s="44" t="s">
        <v>107</v>
      </c>
      <c r="C32" s="44" t="s">
        <v>43</v>
      </c>
      <c r="D32" s="44" t="s">
        <v>255</v>
      </c>
      <c r="E32" s="44">
        <v>162.33130938969299</v>
      </c>
      <c r="F32" s="44"/>
      <c r="G32" s="44">
        <v>162.33130938969299</v>
      </c>
      <c r="H32" s="44"/>
    </row>
    <row r="33" spans="1:8">
      <c r="A33" s="45">
        <v>2007</v>
      </c>
      <c r="B33" s="45" t="s">
        <v>287</v>
      </c>
      <c r="C33" s="45" t="s">
        <v>43</v>
      </c>
      <c r="D33" s="45" t="s">
        <v>255</v>
      </c>
      <c r="E33" s="45">
        <v>186.550054650367</v>
      </c>
      <c r="F33" s="45"/>
      <c r="G33" s="45">
        <v>186.550054650367</v>
      </c>
      <c r="H33" s="45"/>
    </row>
    <row r="34" spans="1:8">
      <c r="A34" s="44">
        <v>2007</v>
      </c>
      <c r="B34" s="44" t="s">
        <v>109</v>
      </c>
      <c r="C34" s="44" t="s">
        <v>43</v>
      </c>
      <c r="D34" s="44" t="s">
        <v>255</v>
      </c>
      <c r="E34" s="44">
        <v>154.68356905172999</v>
      </c>
      <c r="F34" s="44"/>
      <c r="G34" s="44">
        <v>154.68356905172999</v>
      </c>
      <c r="H34" s="44"/>
    </row>
    <row r="35" spans="1:8">
      <c r="A35" s="45">
        <v>2007</v>
      </c>
      <c r="B35" s="45" t="s">
        <v>110</v>
      </c>
      <c r="C35" s="45" t="s">
        <v>43</v>
      </c>
      <c r="D35" s="45" t="s">
        <v>255</v>
      </c>
      <c r="E35" s="45">
        <v>383.31194484664098</v>
      </c>
      <c r="F35" s="45"/>
      <c r="G35" s="45">
        <v>383.31194484664098</v>
      </c>
      <c r="H35" s="45"/>
    </row>
    <row r="36" spans="1:8">
      <c r="A36" s="44">
        <v>2007</v>
      </c>
      <c r="B36" s="44" t="s">
        <v>111</v>
      </c>
      <c r="C36" s="44" t="s">
        <v>43</v>
      </c>
      <c r="D36" s="44" t="s">
        <v>255</v>
      </c>
      <c r="E36" s="44">
        <v>223.93519783201901</v>
      </c>
      <c r="F36" s="44"/>
      <c r="G36" s="44">
        <v>223.93519783201901</v>
      </c>
      <c r="H36" s="44"/>
    </row>
    <row r="37" spans="1:8">
      <c r="A37" s="45">
        <v>2007</v>
      </c>
      <c r="B37" s="45" t="s">
        <v>102</v>
      </c>
      <c r="C37" s="45" t="s">
        <v>44</v>
      </c>
      <c r="D37" s="45" t="s">
        <v>255</v>
      </c>
      <c r="E37" s="45">
        <v>269.26839434274501</v>
      </c>
      <c r="F37" s="45"/>
      <c r="G37" s="45">
        <v>269.26839434274501</v>
      </c>
      <c r="H37" s="45"/>
    </row>
    <row r="38" spans="1:8">
      <c r="A38" s="44">
        <v>2007</v>
      </c>
      <c r="B38" s="44" t="s">
        <v>103</v>
      </c>
      <c r="C38" s="44" t="s">
        <v>44</v>
      </c>
      <c r="D38" s="44" t="s">
        <v>255</v>
      </c>
      <c r="E38" s="44">
        <v>288.86704553670501</v>
      </c>
      <c r="F38" s="44"/>
      <c r="G38" s="44">
        <v>288.86704553670501</v>
      </c>
      <c r="H38" s="44"/>
    </row>
    <row r="39" spans="1:8">
      <c r="A39" s="45">
        <v>2007</v>
      </c>
      <c r="B39" s="45" t="s">
        <v>104</v>
      </c>
      <c r="C39" s="45" t="s">
        <v>44</v>
      </c>
      <c r="D39" s="45" t="s">
        <v>255</v>
      </c>
      <c r="E39" s="45">
        <v>298.39501323760499</v>
      </c>
      <c r="F39" s="45"/>
      <c r="G39" s="45">
        <v>298.39501323760499</v>
      </c>
      <c r="H39" s="45"/>
    </row>
    <row r="40" spans="1:8">
      <c r="A40" s="44">
        <v>2007</v>
      </c>
      <c r="B40" s="44" t="s">
        <v>105</v>
      </c>
      <c r="C40" s="44" t="s">
        <v>44</v>
      </c>
      <c r="D40" s="44" t="s">
        <v>255</v>
      </c>
      <c r="E40" s="44">
        <v>358.15914714222498</v>
      </c>
      <c r="F40" s="44"/>
      <c r="G40" s="44">
        <v>358.15914714222498</v>
      </c>
      <c r="H40" s="44"/>
    </row>
    <row r="41" spans="1:8">
      <c r="A41" s="45">
        <v>2007</v>
      </c>
      <c r="B41" s="45" t="s">
        <v>106</v>
      </c>
      <c r="C41" s="45" t="s">
        <v>44</v>
      </c>
      <c r="D41" s="45" t="s">
        <v>255</v>
      </c>
      <c r="E41" s="45">
        <v>454.21998996846202</v>
      </c>
      <c r="F41" s="45"/>
      <c r="G41" s="45">
        <v>454.21998996846202</v>
      </c>
      <c r="H41" s="45"/>
    </row>
    <row r="42" spans="1:8">
      <c r="A42" s="44">
        <v>2007</v>
      </c>
      <c r="B42" s="44" t="s">
        <v>107</v>
      </c>
      <c r="C42" s="44" t="s">
        <v>44</v>
      </c>
      <c r="D42" s="44" t="s">
        <v>255</v>
      </c>
      <c r="E42" s="44">
        <v>280.54675804505098</v>
      </c>
      <c r="F42" s="44"/>
      <c r="G42" s="44">
        <v>280.54675804505098</v>
      </c>
      <c r="H42" s="44"/>
    </row>
    <row r="43" spans="1:8">
      <c r="A43" s="45">
        <v>2007</v>
      </c>
      <c r="B43" s="45" t="s">
        <v>287</v>
      </c>
      <c r="C43" s="45" t="s">
        <v>44</v>
      </c>
      <c r="D43" s="45" t="s">
        <v>255</v>
      </c>
      <c r="E43" s="45">
        <v>273.54926230551303</v>
      </c>
      <c r="F43" s="45"/>
      <c r="G43" s="45">
        <v>273.54926230551303</v>
      </c>
      <c r="H43" s="45"/>
    </row>
    <row r="44" spans="1:8">
      <c r="A44" s="44">
        <v>2007</v>
      </c>
      <c r="B44" s="44" t="s">
        <v>109</v>
      </c>
      <c r="C44" s="44" t="s">
        <v>44</v>
      </c>
      <c r="D44" s="44" t="s">
        <v>255</v>
      </c>
      <c r="E44" s="44">
        <v>179.76071543812799</v>
      </c>
      <c r="F44" s="44"/>
      <c r="G44" s="44">
        <v>179.76071543812799</v>
      </c>
      <c r="H44" s="44"/>
    </row>
    <row r="45" spans="1:8">
      <c r="A45" s="45">
        <v>2007</v>
      </c>
      <c r="B45" s="45" t="s">
        <v>110</v>
      </c>
      <c r="C45" s="45" t="s">
        <v>44</v>
      </c>
      <c r="D45" s="45" t="s">
        <v>255</v>
      </c>
      <c r="E45" s="45">
        <v>250.685217156513</v>
      </c>
      <c r="F45" s="45"/>
      <c r="G45" s="45">
        <v>250.685217156513</v>
      </c>
      <c r="H45" s="45"/>
    </row>
    <row r="46" spans="1:8">
      <c r="A46" s="44">
        <v>2007</v>
      </c>
      <c r="B46" s="44" t="s">
        <v>111</v>
      </c>
      <c r="C46" s="44" t="s">
        <v>44</v>
      </c>
      <c r="D46" s="44" t="s">
        <v>255</v>
      </c>
      <c r="E46" s="44">
        <v>245.253875616676</v>
      </c>
      <c r="F46" s="44"/>
      <c r="G46" s="44">
        <v>245.253875616676</v>
      </c>
      <c r="H46" s="44"/>
    </row>
    <row r="47" spans="1:8">
      <c r="A47" s="45">
        <v>2014</v>
      </c>
      <c r="B47" s="45" t="s">
        <v>102</v>
      </c>
      <c r="C47" s="45" t="s">
        <v>43</v>
      </c>
      <c r="D47" s="45" t="s">
        <v>255</v>
      </c>
      <c r="E47" s="45">
        <v>878.27904161647803</v>
      </c>
      <c r="F47" s="45"/>
      <c r="G47" s="45">
        <v>878.27904161647803</v>
      </c>
      <c r="H47" s="45"/>
    </row>
    <row r="48" spans="1:8">
      <c r="A48" s="44">
        <v>2014</v>
      </c>
      <c r="B48" s="44" t="s">
        <v>103</v>
      </c>
      <c r="C48" s="44" t="s">
        <v>43</v>
      </c>
      <c r="D48" s="44" t="s">
        <v>255</v>
      </c>
      <c r="E48" s="44">
        <v>733.13113013640304</v>
      </c>
      <c r="F48" s="44"/>
      <c r="G48" s="44">
        <v>733.13113013640304</v>
      </c>
      <c r="H48" s="44"/>
    </row>
    <row r="49" spans="1:8">
      <c r="A49" s="45">
        <v>2014</v>
      </c>
      <c r="B49" s="45" t="s">
        <v>105</v>
      </c>
      <c r="C49" s="45" t="s">
        <v>43</v>
      </c>
      <c r="D49" s="45" t="s">
        <v>255</v>
      </c>
      <c r="E49" s="45">
        <v>747.134417904727</v>
      </c>
      <c r="F49" s="45"/>
      <c r="G49" s="45">
        <v>747.134417904727</v>
      </c>
      <c r="H49" s="45"/>
    </row>
    <row r="50" spans="1:8">
      <c r="A50" s="44">
        <v>2014</v>
      </c>
      <c r="B50" s="44" t="s">
        <v>106</v>
      </c>
      <c r="C50" s="44" t="s">
        <v>43</v>
      </c>
      <c r="D50" s="44" t="s">
        <v>255</v>
      </c>
      <c r="E50" s="44">
        <v>608.93796592169804</v>
      </c>
      <c r="F50" s="44"/>
      <c r="G50" s="44">
        <v>608.93796592169804</v>
      </c>
      <c r="H50" s="44"/>
    </row>
    <row r="51" spans="1:8">
      <c r="A51" s="45">
        <v>2014</v>
      </c>
      <c r="B51" s="45" t="s">
        <v>287</v>
      </c>
      <c r="C51" s="45" t="s">
        <v>43</v>
      </c>
      <c r="D51" s="45" t="s">
        <v>255</v>
      </c>
      <c r="E51" s="45">
        <v>676.86435830010498</v>
      </c>
      <c r="F51" s="45"/>
      <c r="G51" s="45">
        <v>676.86435830010498</v>
      </c>
      <c r="H51" s="45"/>
    </row>
    <row r="52" spans="1:8">
      <c r="A52" s="44">
        <v>2014</v>
      </c>
      <c r="B52" s="44" t="s">
        <v>110</v>
      </c>
      <c r="C52" s="44" t="s">
        <v>43</v>
      </c>
      <c r="D52" s="44" t="s">
        <v>255</v>
      </c>
      <c r="E52" s="44">
        <v>558.65632347456904</v>
      </c>
      <c r="F52" s="44"/>
      <c r="G52" s="44">
        <v>558.65632347456904</v>
      </c>
      <c r="H52" s="44"/>
    </row>
    <row r="53" spans="1:8">
      <c r="A53" s="45">
        <v>2014</v>
      </c>
      <c r="B53" s="45" t="s">
        <v>111</v>
      </c>
      <c r="C53" s="45" t="s">
        <v>43</v>
      </c>
      <c r="D53" s="45" t="s">
        <v>255</v>
      </c>
      <c r="E53" s="45">
        <v>430.75766618109498</v>
      </c>
      <c r="F53" s="45"/>
      <c r="G53" s="45">
        <v>430.75766618109498</v>
      </c>
      <c r="H53" s="45"/>
    </row>
    <row r="54" spans="1:8">
      <c r="A54" s="44">
        <v>2014</v>
      </c>
      <c r="B54" s="44" t="s">
        <v>109</v>
      </c>
      <c r="C54" s="44" t="s">
        <v>43</v>
      </c>
      <c r="D54" s="44" t="s">
        <v>255</v>
      </c>
      <c r="E54" s="44">
        <v>604.56617068274704</v>
      </c>
      <c r="F54" s="44"/>
      <c r="G54" s="44">
        <v>604.56617068274704</v>
      </c>
      <c r="H54" s="44"/>
    </row>
    <row r="55" spans="1:8">
      <c r="A55" s="45">
        <v>2014</v>
      </c>
      <c r="B55" s="45" t="s">
        <v>107</v>
      </c>
      <c r="C55" s="45" t="s">
        <v>43</v>
      </c>
      <c r="D55" s="45" t="s">
        <v>255</v>
      </c>
      <c r="E55" s="45">
        <v>725.61774703337596</v>
      </c>
      <c r="F55" s="45"/>
      <c r="G55" s="45">
        <v>725.61774703337596</v>
      </c>
      <c r="H55" s="45"/>
    </row>
    <row r="56" spans="1:8">
      <c r="A56" s="44">
        <v>2014</v>
      </c>
      <c r="B56" s="44" t="s">
        <v>104</v>
      </c>
      <c r="C56" s="44" t="s">
        <v>43</v>
      </c>
      <c r="D56" s="44" t="s">
        <v>255</v>
      </c>
      <c r="E56" s="44">
        <v>1038.82543743305</v>
      </c>
      <c r="F56" s="44"/>
      <c r="G56" s="44">
        <v>1038.82543743305</v>
      </c>
      <c r="H56" s="44"/>
    </row>
    <row r="57" spans="1:8">
      <c r="A57" s="45">
        <v>2014</v>
      </c>
      <c r="B57" s="45" t="s">
        <v>102</v>
      </c>
      <c r="C57" s="45" t="s">
        <v>44</v>
      </c>
      <c r="D57" s="45" t="s">
        <v>255</v>
      </c>
      <c r="E57" s="45">
        <v>569.31935780582796</v>
      </c>
      <c r="F57" s="45"/>
      <c r="G57" s="45">
        <v>569.31935780582796</v>
      </c>
      <c r="H57" s="45"/>
    </row>
    <row r="58" spans="1:8">
      <c r="A58" s="44">
        <v>2014</v>
      </c>
      <c r="B58" s="44" t="s">
        <v>103</v>
      </c>
      <c r="C58" s="44" t="s">
        <v>44</v>
      </c>
      <c r="D58" s="44" t="s">
        <v>255</v>
      </c>
      <c r="E58" s="44">
        <v>498.09728999868599</v>
      </c>
      <c r="F58" s="44"/>
      <c r="G58" s="44">
        <v>498.09728999868599</v>
      </c>
      <c r="H58" s="44"/>
    </row>
    <row r="59" spans="1:8">
      <c r="A59" s="45">
        <v>2014</v>
      </c>
      <c r="B59" s="45" t="s">
        <v>105</v>
      </c>
      <c r="C59" s="45" t="s">
        <v>44</v>
      </c>
      <c r="D59" s="45" t="s">
        <v>255</v>
      </c>
      <c r="E59" s="45">
        <v>730.82762589413198</v>
      </c>
      <c r="F59" s="45"/>
      <c r="G59" s="45">
        <v>730.82762589413198</v>
      </c>
      <c r="H59" s="45"/>
    </row>
    <row r="60" spans="1:8">
      <c r="A60" s="44">
        <v>2014</v>
      </c>
      <c r="B60" s="44" t="s">
        <v>106</v>
      </c>
      <c r="C60" s="44" t="s">
        <v>44</v>
      </c>
      <c r="D60" s="44" t="s">
        <v>255</v>
      </c>
      <c r="E60" s="44">
        <v>624.95371389638103</v>
      </c>
      <c r="F60" s="44"/>
      <c r="G60" s="44">
        <v>624.95371389638103</v>
      </c>
      <c r="H60" s="44"/>
    </row>
    <row r="61" spans="1:8">
      <c r="A61" s="45">
        <v>2014</v>
      </c>
      <c r="B61" s="45" t="s">
        <v>287</v>
      </c>
      <c r="C61" s="45" t="s">
        <v>44</v>
      </c>
      <c r="D61" s="45" t="s">
        <v>255</v>
      </c>
      <c r="E61" s="45">
        <v>445.20127389032899</v>
      </c>
      <c r="F61" s="45"/>
      <c r="G61" s="45">
        <v>445.20127389032899</v>
      </c>
      <c r="H61" s="45"/>
    </row>
    <row r="62" spans="1:8">
      <c r="A62" s="44">
        <v>2014</v>
      </c>
      <c r="B62" s="44" t="s">
        <v>110</v>
      </c>
      <c r="C62" s="44" t="s">
        <v>44</v>
      </c>
      <c r="D62" s="44" t="s">
        <v>255</v>
      </c>
      <c r="E62" s="44">
        <v>751.10669522733201</v>
      </c>
      <c r="F62" s="44"/>
      <c r="G62" s="44">
        <v>751.10669522733201</v>
      </c>
      <c r="H62" s="44"/>
    </row>
    <row r="63" spans="1:8">
      <c r="A63" s="45">
        <v>2014</v>
      </c>
      <c r="B63" s="45" t="s">
        <v>111</v>
      </c>
      <c r="C63" s="45" t="s">
        <v>44</v>
      </c>
      <c r="D63" s="45" t="s">
        <v>255</v>
      </c>
      <c r="E63" s="45">
        <v>561.96814952598902</v>
      </c>
      <c r="F63" s="45"/>
      <c r="G63" s="45">
        <v>561.96814952598902</v>
      </c>
      <c r="H63" s="45"/>
    </row>
    <row r="64" spans="1:8">
      <c r="A64" s="44">
        <v>2014</v>
      </c>
      <c r="B64" s="44" t="s">
        <v>109</v>
      </c>
      <c r="C64" s="44" t="s">
        <v>44</v>
      </c>
      <c r="D64" s="44" t="s">
        <v>255</v>
      </c>
      <c r="E64" s="44">
        <v>526.08279081072703</v>
      </c>
      <c r="F64" s="44"/>
      <c r="G64" s="44">
        <v>526.08279081072703</v>
      </c>
      <c r="H64" s="44"/>
    </row>
    <row r="65" spans="1:8">
      <c r="A65" s="45">
        <v>2014</v>
      </c>
      <c r="B65" s="45" t="s">
        <v>107</v>
      </c>
      <c r="C65" s="45" t="s">
        <v>44</v>
      </c>
      <c r="D65" s="45" t="s">
        <v>255</v>
      </c>
      <c r="E65" s="45">
        <v>506.85155580912698</v>
      </c>
      <c r="F65" s="45"/>
      <c r="G65" s="45">
        <v>506.85155580912698</v>
      </c>
      <c r="H65" s="45"/>
    </row>
    <row r="66" spans="1:8">
      <c r="A66" s="44">
        <v>2014</v>
      </c>
      <c r="B66" s="44" t="s">
        <v>104</v>
      </c>
      <c r="C66" s="44" t="s">
        <v>44</v>
      </c>
      <c r="D66" s="44" t="s">
        <v>255</v>
      </c>
      <c r="E66" s="44">
        <v>850.86773496008402</v>
      </c>
      <c r="F66" s="44"/>
      <c r="G66" s="44">
        <v>850.86773496008402</v>
      </c>
      <c r="H66" s="44"/>
    </row>
    <row r="67" spans="1:8">
      <c r="A67" s="45"/>
      <c r="B67" s="45"/>
      <c r="C67" s="45"/>
      <c r="D67" s="45"/>
      <c r="E67" s="45"/>
      <c r="F67" s="45"/>
      <c r="G67" s="45"/>
      <c r="H67" s="45"/>
    </row>
    <row r="68" spans="1:8">
      <c r="A68" s="44"/>
      <c r="B68" s="44"/>
      <c r="C68" s="44"/>
      <c r="D68" s="44"/>
      <c r="E68" s="44"/>
      <c r="F68" s="44"/>
      <c r="G68" s="44"/>
      <c r="H68" s="44"/>
    </row>
    <row r="69" spans="1:8">
      <c r="A69" s="45"/>
      <c r="B69" s="45"/>
      <c r="C69" s="45"/>
      <c r="D69" s="45"/>
      <c r="E69" s="45"/>
      <c r="F69" s="45"/>
      <c r="G69" s="45"/>
      <c r="H69" s="45"/>
    </row>
    <row r="70" spans="1:8">
      <c r="A70" s="44"/>
      <c r="B70" s="44"/>
      <c r="C70" s="44"/>
      <c r="D70" s="44"/>
      <c r="E70" s="44"/>
      <c r="F70" s="44"/>
      <c r="G70" s="44"/>
      <c r="H70" s="44"/>
    </row>
    <row r="71" spans="1:8">
      <c r="A71" s="45"/>
      <c r="B71" s="45"/>
      <c r="C71" s="45"/>
      <c r="D71" s="45"/>
      <c r="E71" s="45"/>
      <c r="F71" s="45"/>
      <c r="G71" s="45"/>
      <c r="H71" s="45"/>
    </row>
    <row r="72" spans="1:8">
      <c r="A72" s="44"/>
      <c r="B72" s="44"/>
      <c r="C72" s="44"/>
      <c r="D72" s="44"/>
      <c r="E72" s="44"/>
      <c r="F72" s="44"/>
      <c r="G72" s="44"/>
      <c r="H72" s="44"/>
    </row>
    <row r="73" spans="1:8">
      <c r="A73" s="45"/>
      <c r="B73" s="45"/>
      <c r="C73" s="45"/>
      <c r="D73" s="45"/>
      <c r="E73" s="45"/>
      <c r="F73" s="45"/>
      <c r="G73" s="45"/>
      <c r="H73" s="45"/>
    </row>
    <row r="74" spans="1:8">
      <c r="A74" s="44"/>
      <c r="B74" s="44"/>
      <c r="C74" s="44"/>
      <c r="D74" s="44"/>
      <c r="E74" s="44"/>
      <c r="F74" s="44"/>
      <c r="G74" s="44"/>
      <c r="H74" s="44"/>
    </row>
    <row r="75" spans="1:8">
      <c r="A75" s="45"/>
      <c r="B75" s="45"/>
      <c r="C75" s="45"/>
      <c r="D75" s="45"/>
      <c r="E75" s="45"/>
      <c r="F75" s="45"/>
      <c r="G75" s="45"/>
      <c r="H75" s="45"/>
    </row>
    <row r="76" spans="1:8">
      <c r="A76" s="44"/>
      <c r="B76" s="44"/>
      <c r="C76" s="44"/>
      <c r="D76" s="44"/>
      <c r="E76" s="44"/>
      <c r="F76" s="44"/>
      <c r="G76" s="44"/>
      <c r="H76" s="44"/>
    </row>
    <row r="77" spans="1:8">
      <c r="A77" s="45"/>
      <c r="B77" s="45"/>
      <c r="C77" s="45"/>
      <c r="D77" s="45"/>
      <c r="E77" s="45"/>
      <c r="F77" s="45"/>
      <c r="G77" s="45"/>
      <c r="H77" s="45"/>
    </row>
    <row r="78" spans="1:8">
      <c r="A78" s="44"/>
      <c r="B78" s="44"/>
      <c r="C78" s="44"/>
      <c r="D78" s="44"/>
      <c r="E78" s="44"/>
      <c r="F78" s="44"/>
      <c r="G78" s="44"/>
      <c r="H78" s="44"/>
    </row>
    <row r="79" spans="1:8">
      <c r="A79" s="45"/>
      <c r="B79" s="45"/>
      <c r="C79" s="45"/>
      <c r="D79" s="45"/>
      <c r="E79" s="45"/>
      <c r="F79" s="45"/>
      <c r="G79" s="45"/>
      <c r="H79" s="45"/>
    </row>
    <row r="80" spans="1:8">
      <c r="A80" s="44"/>
      <c r="B80" s="44"/>
      <c r="C80" s="44"/>
      <c r="D80" s="44"/>
      <c r="E80" s="44"/>
      <c r="F80" s="44"/>
      <c r="G80" s="44"/>
      <c r="H80" s="44"/>
    </row>
    <row r="81" spans="1:8">
      <c r="A81" s="45"/>
      <c r="B81" s="45"/>
      <c r="C81" s="45"/>
      <c r="D81" s="45"/>
      <c r="E81" s="45"/>
      <c r="F81" s="45"/>
      <c r="G81" s="45"/>
      <c r="H81" s="45"/>
    </row>
    <row r="82" spans="1:8">
      <c r="A82" s="44"/>
      <c r="B82" s="44"/>
      <c r="C82" s="44"/>
      <c r="D82" s="44"/>
      <c r="E82" s="44"/>
      <c r="F82" s="44"/>
      <c r="G82" s="44"/>
      <c r="H82" s="44"/>
    </row>
    <row r="83" spans="1:8">
      <c r="A83" s="45"/>
      <c r="B83" s="45"/>
      <c r="C83" s="45"/>
      <c r="D83" s="45"/>
      <c r="E83" s="45"/>
      <c r="F83" s="45"/>
      <c r="G83" s="45"/>
      <c r="H83" s="45"/>
    </row>
    <row r="84" spans="1:8">
      <c r="A84" s="44"/>
      <c r="B84" s="44"/>
      <c r="C84" s="44"/>
      <c r="D84" s="44"/>
      <c r="E84" s="44"/>
      <c r="F84" s="44"/>
      <c r="G84" s="44"/>
      <c r="H84" s="44"/>
    </row>
    <row r="85" spans="1:8">
      <c r="A85" s="45"/>
      <c r="B85" s="45"/>
      <c r="C85" s="45"/>
      <c r="D85" s="45"/>
      <c r="E85" s="45"/>
      <c r="F85" s="45"/>
      <c r="G85" s="45"/>
      <c r="H85" s="45"/>
    </row>
    <row r="86" spans="1:8">
      <c r="A86" s="44"/>
      <c r="B86" s="44"/>
      <c r="C86" s="44"/>
      <c r="D86" s="44"/>
      <c r="E86" s="44"/>
      <c r="F86" s="44"/>
      <c r="G86" s="44"/>
      <c r="H86" s="44"/>
    </row>
    <row r="87" spans="1:8">
      <c r="A87" s="45"/>
      <c r="B87" s="45"/>
      <c r="C87" s="45"/>
      <c r="D87" s="45"/>
      <c r="E87" s="45"/>
      <c r="F87" s="45"/>
      <c r="G87" s="45"/>
      <c r="H87" s="45"/>
    </row>
    <row r="88" spans="1:8">
      <c r="A88" s="44"/>
      <c r="B88" s="44"/>
      <c r="C88" s="44"/>
      <c r="D88" s="44"/>
      <c r="E88" s="44"/>
      <c r="F88" s="44"/>
      <c r="G88" s="44"/>
      <c r="H88" s="44"/>
    </row>
    <row r="89" spans="1:8">
      <c r="A89" s="45"/>
      <c r="B89" s="45"/>
      <c r="C89" s="45"/>
      <c r="D89" s="45"/>
      <c r="E89" s="45"/>
      <c r="F89" s="45"/>
      <c r="G89" s="45"/>
      <c r="H89" s="45"/>
    </row>
    <row r="90" spans="1:8">
      <c r="A90" s="44"/>
      <c r="B90" s="44"/>
      <c r="C90" s="44"/>
      <c r="D90" s="44"/>
      <c r="E90" s="44"/>
      <c r="F90" s="44"/>
      <c r="G90" s="44"/>
      <c r="H90" s="44"/>
    </row>
    <row r="91" spans="1:8">
      <c r="A91" s="45"/>
      <c r="B91" s="45"/>
      <c r="C91" s="45"/>
      <c r="D91" s="45"/>
      <c r="E91" s="45"/>
      <c r="F91" s="45"/>
      <c r="G91" s="45"/>
      <c r="H91" s="45"/>
    </row>
    <row r="92" spans="1:8">
      <c r="A92" s="44"/>
      <c r="B92" s="44"/>
      <c r="C92" s="44"/>
      <c r="D92" s="44"/>
      <c r="E92" s="44"/>
      <c r="F92" s="44"/>
      <c r="G92" s="44"/>
      <c r="H92" s="44"/>
    </row>
    <row r="93" spans="1:8">
      <c r="A93" s="45"/>
      <c r="B93" s="45"/>
      <c r="C93" s="45"/>
      <c r="D93" s="45"/>
      <c r="E93" s="45"/>
      <c r="F93" s="45"/>
      <c r="G93" s="45"/>
      <c r="H93" s="45"/>
    </row>
    <row r="94" spans="1:8">
      <c r="A94" s="44"/>
      <c r="B94" s="44"/>
      <c r="C94" s="44"/>
      <c r="D94" s="44"/>
      <c r="E94" s="44"/>
      <c r="F94" s="44"/>
      <c r="G94" s="44"/>
      <c r="H94" s="44"/>
    </row>
    <row r="95" spans="1:8">
      <c r="A95" s="45"/>
      <c r="B95" s="45"/>
      <c r="C95" s="45"/>
      <c r="D95" s="45"/>
      <c r="E95" s="45"/>
      <c r="F95" s="45"/>
      <c r="G95" s="45"/>
      <c r="H95" s="45"/>
    </row>
    <row r="96" spans="1:8">
      <c r="A96" s="44"/>
      <c r="B96" s="44"/>
      <c r="C96" s="44"/>
      <c r="D96" s="44"/>
      <c r="E96" s="44"/>
      <c r="F96" s="44"/>
      <c r="G96" s="44"/>
      <c r="H96" s="44"/>
    </row>
    <row r="97" spans="1:8">
      <c r="A97" s="45"/>
      <c r="B97" s="45"/>
      <c r="C97" s="45"/>
      <c r="D97" s="45"/>
      <c r="E97" s="45"/>
      <c r="F97" s="45"/>
      <c r="G97" s="45"/>
      <c r="H97" s="45"/>
    </row>
    <row r="98" spans="1:8">
      <c r="A98" s="44"/>
      <c r="B98" s="44"/>
      <c r="C98" s="44"/>
      <c r="D98" s="44"/>
      <c r="E98" s="44"/>
      <c r="F98" s="44"/>
      <c r="G98" s="44"/>
      <c r="H98" s="44"/>
    </row>
    <row r="99" spans="1:8">
      <c r="A99" s="45"/>
      <c r="B99" s="45"/>
      <c r="C99" s="45"/>
      <c r="D99" s="45"/>
      <c r="E99" s="45"/>
      <c r="F99" s="45"/>
      <c r="G99" s="45"/>
      <c r="H99" s="45"/>
    </row>
    <row r="100" spans="1:8">
      <c r="A100" s="44"/>
      <c r="B100" s="44"/>
      <c r="C100" s="44"/>
      <c r="D100" s="44"/>
      <c r="E100" s="44"/>
      <c r="F100" s="44"/>
      <c r="G100" s="44"/>
      <c r="H100" s="44"/>
    </row>
    <row r="101" spans="1:8">
      <c r="A101" s="45"/>
      <c r="B101" s="45"/>
      <c r="C101" s="45"/>
      <c r="D101" s="45"/>
      <c r="E101" s="45"/>
      <c r="F101" s="45"/>
      <c r="G101" s="45"/>
      <c r="H101" s="45"/>
    </row>
    <row r="102" spans="1:8">
      <c r="A102" s="44"/>
      <c r="B102" s="44"/>
      <c r="C102" s="44"/>
      <c r="D102" s="44"/>
      <c r="E102" s="44"/>
      <c r="F102" s="44"/>
      <c r="G102" s="44"/>
      <c r="H102" s="44"/>
    </row>
    <row r="103" spans="1:8">
      <c r="A103" s="45"/>
      <c r="B103" s="45"/>
      <c r="C103" s="45"/>
      <c r="D103" s="45"/>
      <c r="E103" s="45"/>
      <c r="F103" s="45"/>
      <c r="G103" s="45"/>
      <c r="H103" s="45"/>
    </row>
    <row r="104" spans="1:8">
      <c r="A104" s="44"/>
      <c r="B104" s="44"/>
      <c r="C104" s="44"/>
      <c r="D104" s="44"/>
      <c r="E104" s="44"/>
      <c r="F104" s="44"/>
      <c r="G104" s="44"/>
      <c r="H104" s="44"/>
    </row>
    <row r="105" spans="1:8">
      <c r="A105" s="45"/>
      <c r="B105" s="45"/>
      <c r="C105" s="45"/>
      <c r="D105" s="45"/>
      <c r="E105" s="45"/>
      <c r="F105" s="45"/>
      <c r="G105" s="45"/>
      <c r="H105" s="45"/>
    </row>
    <row r="106" spans="1:8">
      <c r="A106" s="44"/>
      <c r="B106" s="44"/>
      <c r="C106" s="44"/>
      <c r="D106" s="44"/>
      <c r="E106" s="44"/>
      <c r="F106" s="44"/>
      <c r="G106" s="44"/>
      <c r="H106" s="44"/>
    </row>
    <row r="107" spans="1:8">
      <c r="A107" s="45"/>
      <c r="B107" s="45"/>
      <c r="C107" s="45"/>
      <c r="D107" s="45"/>
      <c r="E107" s="45"/>
      <c r="F107" s="45"/>
      <c r="G107" s="45"/>
      <c r="H107" s="45"/>
    </row>
    <row r="108" spans="1:8">
      <c r="A108" s="44"/>
      <c r="B108" s="44"/>
      <c r="C108" s="44"/>
      <c r="D108" s="44"/>
      <c r="E108" s="44"/>
      <c r="F108" s="44"/>
      <c r="G108" s="44"/>
      <c r="H108" s="44"/>
    </row>
    <row r="109" spans="1:8">
      <c r="A109" s="45"/>
      <c r="B109" s="45"/>
      <c r="C109" s="45"/>
      <c r="D109" s="45"/>
      <c r="E109" s="45"/>
      <c r="F109" s="45"/>
      <c r="G109" s="45"/>
      <c r="H109" s="45"/>
    </row>
    <row r="110" spans="1:8">
      <c r="A110" s="44"/>
      <c r="B110" s="44"/>
      <c r="C110" s="44"/>
      <c r="D110" s="44"/>
      <c r="E110" s="44"/>
      <c r="F110" s="44"/>
      <c r="G110" s="44"/>
      <c r="H110" s="44"/>
    </row>
    <row r="111" spans="1:8">
      <c r="A111" s="45"/>
      <c r="B111" s="45"/>
      <c r="C111" s="45"/>
      <c r="D111" s="45"/>
      <c r="E111" s="45"/>
      <c r="F111" s="45"/>
      <c r="G111" s="45"/>
      <c r="H111" s="45"/>
    </row>
    <row r="112" spans="1:8">
      <c r="A112" s="44"/>
      <c r="B112" s="44"/>
      <c r="C112" s="44"/>
      <c r="D112" s="44"/>
      <c r="E112" s="44"/>
      <c r="F112" s="44"/>
      <c r="G112" s="44"/>
      <c r="H112" s="44"/>
    </row>
    <row r="113" spans="1:8">
      <c r="A113" s="45"/>
      <c r="B113" s="45"/>
      <c r="C113" s="45"/>
      <c r="D113" s="45"/>
      <c r="E113" s="45"/>
      <c r="F113" s="45"/>
      <c r="G113" s="45"/>
      <c r="H113" s="45"/>
    </row>
    <row r="114" spans="1:8">
      <c r="A114" s="44"/>
      <c r="B114" s="44"/>
      <c r="C114" s="44"/>
      <c r="D114" s="44"/>
      <c r="E114" s="44"/>
      <c r="F114" s="44"/>
      <c r="G114" s="44"/>
      <c r="H114" s="44"/>
    </row>
    <row r="115" spans="1:8">
      <c r="A115" s="45"/>
      <c r="B115" s="45"/>
      <c r="C115" s="45"/>
      <c r="D115" s="45"/>
      <c r="E115" s="45"/>
      <c r="F115" s="45"/>
      <c r="G115" s="45"/>
      <c r="H115" s="45"/>
    </row>
    <row r="116" spans="1:8">
      <c r="A116" s="44"/>
      <c r="B116" s="44"/>
      <c r="C116" s="44"/>
      <c r="D116" s="44"/>
      <c r="E116" s="44"/>
      <c r="F116" s="44"/>
      <c r="G116" s="44"/>
      <c r="H116" s="44"/>
    </row>
    <row r="117" spans="1:8">
      <c r="A117" s="45"/>
      <c r="B117" s="45"/>
      <c r="C117" s="45"/>
      <c r="D117" s="45"/>
      <c r="E117" s="45"/>
      <c r="F117" s="45"/>
      <c r="G117" s="45"/>
      <c r="H117" s="45"/>
    </row>
    <row r="118" spans="1:8">
      <c r="A118" s="44"/>
      <c r="B118" s="44"/>
      <c r="C118" s="44"/>
      <c r="D118" s="44"/>
      <c r="E118" s="44"/>
      <c r="F118" s="44"/>
      <c r="G118" s="44"/>
      <c r="H118" s="44"/>
    </row>
    <row r="119" spans="1:8">
      <c r="A119" s="45"/>
      <c r="B119" s="45"/>
      <c r="C119" s="45"/>
      <c r="D119" s="45"/>
      <c r="E119" s="45"/>
      <c r="F119" s="45"/>
      <c r="G119" s="45"/>
      <c r="H119" s="45"/>
    </row>
    <row r="120" spans="1:8">
      <c r="A120" s="44"/>
      <c r="B120" s="44"/>
      <c r="C120" s="44"/>
      <c r="D120" s="44"/>
      <c r="E120" s="44"/>
      <c r="F120" s="44"/>
      <c r="G120" s="44"/>
      <c r="H120" s="44"/>
    </row>
    <row r="121" spans="1:8">
      <c r="A121" s="45"/>
      <c r="B121" s="45"/>
      <c r="C121" s="45"/>
      <c r="D121" s="45"/>
      <c r="E121" s="45"/>
      <c r="F121" s="45"/>
      <c r="G121" s="45"/>
      <c r="H121" s="45"/>
    </row>
    <row r="122" spans="1:8">
      <c r="A122" s="44"/>
      <c r="B122" s="44"/>
      <c r="C122" s="44"/>
      <c r="D122" s="44"/>
      <c r="E122" s="44"/>
      <c r="F122" s="44"/>
      <c r="G122" s="44"/>
      <c r="H122" s="44"/>
    </row>
    <row r="123" spans="1:8">
      <c r="A123" s="45"/>
      <c r="B123" s="45"/>
      <c r="C123" s="45"/>
      <c r="D123" s="45"/>
      <c r="E123" s="45"/>
      <c r="F123" s="45"/>
      <c r="G123" s="45"/>
      <c r="H123" s="45"/>
    </row>
    <row r="124" spans="1:8">
      <c r="A124" s="44"/>
      <c r="B124" s="44"/>
      <c r="C124" s="44"/>
      <c r="D124" s="44"/>
      <c r="E124" s="44"/>
      <c r="F124" s="44"/>
      <c r="G124" s="44"/>
      <c r="H124" s="44"/>
    </row>
    <row r="125" spans="1:8">
      <c r="A125" s="45"/>
      <c r="B125" s="45"/>
      <c r="C125" s="45"/>
      <c r="D125" s="45"/>
      <c r="E125" s="45"/>
      <c r="F125" s="45"/>
      <c r="G125" s="45"/>
      <c r="H125" s="45"/>
    </row>
    <row r="126" spans="1:8">
      <c r="A126" s="44"/>
      <c r="B126" s="44"/>
      <c r="C126" s="44"/>
      <c r="D126" s="44"/>
      <c r="E126" s="44"/>
      <c r="F126" s="44"/>
      <c r="G126" s="44"/>
      <c r="H126" s="44"/>
    </row>
    <row r="127" spans="1:8">
      <c r="A127" s="45"/>
      <c r="B127" s="45"/>
      <c r="C127" s="45"/>
      <c r="D127" s="45"/>
      <c r="E127" s="45"/>
      <c r="F127" s="45"/>
      <c r="G127" s="45"/>
      <c r="H127" s="45"/>
    </row>
    <row r="128" spans="1:8">
      <c r="A128" s="44"/>
      <c r="B128" s="44"/>
      <c r="C128" s="44"/>
      <c r="D128" s="44"/>
      <c r="E128" s="44"/>
      <c r="F128" s="44"/>
      <c r="G128" s="44"/>
      <c r="H128" s="44"/>
    </row>
    <row r="129" spans="1:8">
      <c r="A129" s="45"/>
      <c r="B129" s="45"/>
      <c r="C129" s="45"/>
      <c r="D129" s="45"/>
      <c r="E129" s="45"/>
      <c r="F129" s="45"/>
      <c r="G129" s="45"/>
      <c r="H129" s="45"/>
    </row>
    <row r="130" spans="1:8">
      <c r="A130" s="44"/>
      <c r="B130" s="44"/>
      <c r="C130" s="44"/>
      <c r="D130" s="44"/>
      <c r="E130" s="44"/>
      <c r="F130" s="44"/>
      <c r="G130" s="44"/>
      <c r="H130" s="44"/>
    </row>
    <row r="131" spans="1:8">
      <c r="A131" s="45"/>
      <c r="B131" s="45"/>
      <c r="C131" s="45"/>
      <c r="D131" s="45"/>
      <c r="E131" s="45"/>
      <c r="F131" s="45"/>
      <c r="G131" s="45"/>
      <c r="H131" s="45"/>
    </row>
    <row r="132" spans="1:8">
      <c r="A132" s="44"/>
      <c r="B132" s="44"/>
      <c r="C132" s="44"/>
      <c r="D132" s="44"/>
      <c r="E132" s="44"/>
      <c r="F132" s="44"/>
      <c r="G132" s="44"/>
      <c r="H132" s="44"/>
    </row>
    <row r="133" spans="1:8">
      <c r="A133" s="45"/>
      <c r="B133" s="45"/>
      <c r="C133" s="45"/>
      <c r="D133" s="45"/>
      <c r="E133" s="45"/>
      <c r="F133" s="45"/>
      <c r="G133" s="45"/>
      <c r="H133" s="45"/>
    </row>
    <row r="134" spans="1:8">
      <c r="A134" s="44"/>
      <c r="B134" s="44"/>
      <c r="C134" s="44"/>
      <c r="D134" s="44"/>
      <c r="E134" s="44"/>
      <c r="F134" s="44"/>
      <c r="G134" s="44"/>
      <c r="H134" s="44"/>
    </row>
    <row r="135" spans="1:8">
      <c r="A135" s="45"/>
      <c r="B135" s="45"/>
      <c r="C135" s="45"/>
      <c r="D135" s="45"/>
      <c r="E135" s="45"/>
      <c r="F135" s="45"/>
      <c r="G135" s="45"/>
      <c r="H135" s="45"/>
    </row>
    <row r="136" spans="1:8">
      <c r="A136" s="44"/>
      <c r="B136" s="44"/>
      <c r="C136" s="44"/>
      <c r="D136" s="44"/>
      <c r="E136" s="44"/>
      <c r="F136" s="44"/>
      <c r="G136" s="44"/>
      <c r="H136" s="44"/>
    </row>
    <row r="137" spans="1:8">
      <c r="A137" s="45"/>
      <c r="B137" s="45"/>
      <c r="C137" s="45"/>
      <c r="D137" s="45"/>
      <c r="E137" s="45"/>
      <c r="F137" s="45"/>
      <c r="G137" s="45"/>
      <c r="H137" s="45"/>
    </row>
    <row r="138" spans="1:8">
      <c r="A138" s="44"/>
      <c r="B138" s="44"/>
      <c r="C138" s="44"/>
      <c r="D138" s="44"/>
      <c r="E138" s="44"/>
      <c r="F138" s="44"/>
      <c r="G138" s="44"/>
      <c r="H138" s="44"/>
    </row>
    <row r="139" spans="1:8">
      <c r="A139" s="45"/>
      <c r="B139" s="45"/>
      <c r="C139" s="45"/>
      <c r="D139" s="45"/>
      <c r="E139" s="45"/>
      <c r="F139" s="45"/>
      <c r="G139" s="45"/>
      <c r="H139" s="45"/>
    </row>
    <row r="140" spans="1:8">
      <c r="A140" s="44"/>
      <c r="B140" s="44"/>
      <c r="C140" s="44"/>
      <c r="D140" s="44"/>
      <c r="E140" s="44"/>
      <c r="F140" s="44"/>
      <c r="G140" s="44"/>
      <c r="H140" s="44"/>
    </row>
    <row r="141" spans="1:8">
      <c r="A141" s="45"/>
      <c r="B141" s="45"/>
      <c r="C141" s="45"/>
      <c r="D141" s="45"/>
      <c r="E141" s="45"/>
      <c r="F141" s="45"/>
      <c r="G141" s="45"/>
      <c r="H141" s="45"/>
    </row>
    <row r="142" spans="1:8">
      <c r="A142" s="44"/>
      <c r="B142" s="44"/>
      <c r="C142" s="44"/>
      <c r="D142" s="44"/>
      <c r="E142" s="44"/>
      <c r="F142" s="44"/>
      <c r="G142" s="44"/>
      <c r="H142" s="44"/>
    </row>
    <row r="143" spans="1:8">
      <c r="A143" s="45"/>
      <c r="B143" s="45"/>
      <c r="C143" s="45"/>
      <c r="D143" s="45"/>
      <c r="E143" s="45"/>
      <c r="F143" s="45"/>
      <c r="G143" s="45"/>
      <c r="H143" s="45"/>
    </row>
    <row r="144" spans="1:8">
      <c r="A144" s="44"/>
      <c r="B144" s="44"/>
      <c r="C144" s="44"/>
      <c r="D144" s="44"/>
      <c r="E144" s="44"/>
      <c r="F144" s="44"/>
      <c r="G144" s="44"/>
      <c r="H144" s="44"/>
    </row>
    <row r="145" spans="1:8">
      <c r="A145" s="45"/>
      <c r="B145" s="45"/>
      <c r="C145" s="45"/>
      <c r="D145" s="45"/>
      <c r="E145" s="45"/>
      <c r="F145" s="45"/>
      <c r="G145" s="45"/>
      <c r="H145" s="45"/>
    </row>
    <row r="146" spans="1:8">
      <c r="A146" s="44"/>
      <c r="B146" s="44"/>
      <c r="C146" s="44"/>
      <c r="D146" s="44"/>
      <c r="E146" s="44"/>
      <c r="F146" s="44"/>
      <c r="G146" s="44"/>
      <c r="H146" s="44"/>
    </row>
    <row r="147" spans="1:8">
      <c r="A147" s="45"/>
      <c r="B147" s="45"/>
      <c r="C147" s="45"/>
      <c r="D147" s="45"/>
      <c r="E147" s="45"/>
      <c r="F147" s="45"/>
      <c r="G147" s="45"/>
      <c r="H147" s="45"/>
    </row>
    <row r="148" spans="1:8">
      <c r="A148" s="44"/>
      <c r="B148" s="44"/>
      <c r="C148" s="44"/>
      <c r="D148" s="44"/>
      <c r="E148" s="44"/>
      <c r="F148" s="44"/>
      <c r="G148" s="44"/>
      <c r="H148" s="44"/>
    </row>
    <row r="149" spans="1:8">
      <c r="A149" s="45"/>
      <c r="B149" s="45"/>
      <c r="C149" s="45"/>
      <c r="D149" s="45"/>
      <c r="E149" s="45"/>
      <c r="F149" s="45"/>
      <c r="G149" s="45"/>
      <c r="H149" s="45"/>
    </row>
    <row r="150" spans="1:8">
      <c r="A150" s="44"/>
      <c r="B150" s="44"/>
      <c r="C150" s="44"/>
      <c r="D150" s="44"/>
      <c r="E150" s="44"/>
      <c r="F150" s="44"/>
      <c r="G150" s="44"/>
      <c r="H150" s="44"/>
    </row>
    <row r="151" spans="1:8">
      <c r="A151" s="45"/>
      <c r="B151" s="45"/>
      <c r="C151" s="45"/>
      <c r="D151" s="45"/>
      <c r="E151" s="45"/>
      <c r="F151" s="45"/>
      <c r="G151" s="45"/>
      <c r="H151" s="45"/>
    </row>
    <row r="152" spans="1:8">
      <c r="A152" s="44"/>
      <c r="B152" s="44"/>
      <c r="C152" s="44"/>
      <c r="D152" s="44"/>
      <c r="E152" s="44"/>
      <c r="F152" s="44"/>
      <c r="G152" s="44"/>
      <c r="H152" s="44"/>
    </row>
    <row r="153" spans="1:8">
      <c r="A153" s="45"/>
      <c r="B153" s="45"/>
      <c r="C153" s="45"/>
      <c r="D153" s="45"/>
      <c r="E153" s="45"/>
      <c r="F153" s="45"/>
      <c r="G153" s="45"/>
      <c r="H153" s="45"/>
    </row>
    <row r="154" spans="1:8">
      <c r="A154" s="44"/>
      <c r="B154" s="44"/>
      <c r="C154" s="44"/>
      <c r="D154" s="44"/>
      <c r="E154" s="44"/>
      <c r="F154" s="44"/>
      <c r="G154" s="44"/>
      <c r="H154" s="44"/>
    </row>
    <row r="155" spans="1:8">
      <c r="A155" s="45"/>
      <c r="B155" s="45"/>
      <c r="C155" s="45"/>
      <c r="D155" s="45"/>
      <c r="E155" s="45"/>
      <c r="F155" s="45"/>
      <c r="G155" s="45"/>
      <c r="H155" s="45"/>
    </row>
    <row r="156" spans="1:8">
      <c r="A156" s="44"/>
      <c r="B156" s="44"/>
      <c r="C156" s="44"/>
      <c r="D156" s="44"/>
      <c r="E156" s="44"/>
      <c r="F156" s="44"/>
      <c r="G156" s="44"/>
      <c r="H156" s="44"/>
    </row>
    <row r="157" spans="1:8">
      <c r="A157" s="45"/>
      <c r="B157" s="45"/>
      <c r="C157" s="45"/>
      <c r="D157" s="45"/>
      <c r="E157" s="45"/>
      <c r="F157" s="45"/>
      <c r="G157" s="45"/>
      <c r="H157" s="45"/>
    </row>
    <row r="158" spans="1:8">
      <c r="A158" s="44"/>
      <c r="B158" s="44"/>
      <c r="C158" s="44"/>
      <c r="D158" s="44"/>
      <c r="E158" s="44"/>
      <c r="F158" s="44"/>
      <c r="G158" s="44"/>
      <c r="H158" s="44"/>
    </row>
    <row r="159" spans="1:8">
      <c r="A159" s="45"/>
      <c r="B159" s="45"/>
      <c r="C159" s="45"/>
      <c r="D159" s="45"/>
      <c r="E159" s="45"/>
      <c r="F159" s="45"/>
      <c r="G159" s="45"/>
      <c r="H159" s="45"/>
    </row>
    <row r="160" spans="1:8">
      <c r="A160" s="44"/>
      <c r="B160" s="44"/>
      <c r="C160" s="44"/>
      <c r="D160" s="44"/>
      <c r="E160" s="44"/>
      <c r="F160" s="44"/>
      <c r="G160" s="44"/>
      <c r="H160" s="44"/>
    </row>
    <row r="161" spans="1:8">
      <c r="A161" s="45"/>
      <c r="B161" s="45"/>
      <c r="C161" s="45"/>
      <c r="D161" s="45"/>
      <c r="E161" s="45"/>
      <c r="F161" s="45"/>
      <c r="G161" s="45"/>
      <c r="H161" s="45"/>
    </row>
    <row r="162" spans="1:8">
      <c r="A162" s="44"/>
      <c r="B162" s="44"/>
      <c r="C162" s="44"/>
      <c r="D162" s="44"/>
      <c r="E162" s="44"/>
      <c r="F162" s="44"/>
      <c r="G162" s="44"/>
      <c r="H162" s="44"/>
    </row>
    <row r="163" spans="1:8">
      <c r="A163" s="45"/>
      <c r="B163" s="45"/>
      <c r="C163" s="45"/>
      <c r="D163" s="45"/>
      <c r="E163" s="45"/>
      <c r="F163" s="45"/>
      <c r="G163" s="45"/>
      <c r="H163" s="45"/>
    </row>
    <row r="164" spans="1:8">
      <c r="A164" s="44"/>
      <c r="B164" s="44"/>
      <c r="C164" s="44"/>
      <c r="D164" s="44"/>
      <c r="E164" s="44"/>
      <c r="F164" s="44"/>
      <c r="G164" s="44"/>
      <c r="H164" s="44"/>
    </row>
    <row r="165" spans="1:8">
      <c r="A165" s="45"/>
      <c r="B165" s="45"/>
      <c r="C165" s="45"/>
      <c r="D165" s="45"/>
      <c r="E165" s="45"/>
      <c r="F165" s="45"/>
      <c r="G165" s="45"/>
      <c r="H165" s="45"/>
    </row>
    <row r="166" spans="1:8">
      <c r="A166" s="44"/>
      <c r="B166" s="44"/>
      <c r="C166" s="44"/>
      <c r="D166" s="44"/>
      <c r="E166" s="44"/>
      <c r="F166" s="44"/>
      <c r="G166" s="44"/>
      <c r="H166" s="44"/>
    </row>
    <row r="167" spans="1:8">
      <c r="A167" s="45"/>
      <c r="B167" s="45"/>
      <c r="C167" s="45"/>
      <c r="D167" s="45"/>
      <c r="E167" s="45"/>
      <c r="F167" s="45"/>
      <c r="G167" s="45"/>
      <c r="H167" s="45"/>
    </row>
    <row r="168" spans="1:8">
      <c r="A168" s="44"/>
      <c r="B168" s="44"/>
      <c r="C168" s="44"/>
      <c r="D168" s="44"/>
      <c r="E168" s="44"/>
      <c r="F168" s="44"/>
      <c r="G168" s="44"/>
      <c r="H168" s="44"/>
    </row>
    <row r="169" spans="1:8">
      <c r="A169" s="45"/>
      <c r="B169" s="45"/>
      <c r="C169" s="45"/>
      <c r="D169" s="45"/>
      <c r="E169" s="45"/>
      <c r="F169" s="45"/>
      <c r="G169" s="45"/>
      <c r="H169" s="45"/>
    </row>
    <row r="170" spans="1:8">
      <c r="A170" s="44"/>
      <c r="B170" s="44"/>
      <c r="C170" s="44"/>
      <c r="D170" s="44"/>
      <c r="E170" s="44"/>
      <c r="F170" s="44"/>
      <c r="G170" s="44"/>
      <c r="H170" s="44"/>
    </row>
    <row r="171" spans="1:8">
      <c r="A171" s="45"/>
      <c r="B171" s="45"/>
      <c r="C171" s="45"/>
      <c r="D171" s="45"/>
      <c r="E171" s="45"/>
      <c r="F171" s="45"/>
      <c r="G171" s="45"/>
      <c r="H171" s="45"/>
    </row>
    <row r="172" spans="1:8">
      <c r="A172" s="44"/>
      <c r="B172" s="44"/>
      <c r="C172" s="44"/>
      <c r="D172" s="44"/>
      <c r="E172" s="44"/>
      <c r="F172" s="44"/>
      <c r="G172" s="44"/>
      <c r="H172" s="44"/>
    </row>
    <row r="173" spans="1:8">
      <c r="A173" s="45"/>
      <c r="B173" s="45"/>
      <c r="C173" s="45"/>
      <c r="D173" s="45"/>
      <c r="E173" s="45"/>
      <c r="F173" s="45"/>
      <c r="G173" s="45"/>
      <c r="H173" s="45"/>
    </row>
    <row r="174" spans="1:8">
      <c r="A174" s="44"/>
      <c r="B174" s="44"/>
      <c r="C174" s="44"/>
      <c r="D174" s="44"/>
      <c r="E174" s="44"/>
      <c r="F174" s="44"/>
      <c r="G174" s="44"/>
      <c r="H174" s="44"/>
    </row>
    <row r="175" spans="1:8">
      <c r="A175" s="45"/>
      <c r="B175" s="45"/>
      <c r="C175" s="45"/>
      <c r="D175" s="45"/>
      <c r="E175" s="45"/>
      <c r="F175" s="45"/>
      <c r="G175" s="45"/>
      <c r="H175" s="45"/>
    </row>
    <row r="176" spans="1:8">
      <c r="A176" s="44"/>
      <c r="B176" s="44"/>
      <c r="C176" s="44"/>
      <c r="D176" s="44"/>
      <c r="E176" s="44"/>
      <c r="F176" s="44"/>
      <c r="G176" s="44"/>
      <c r="H176" s="44"/>
    </row>
    <row r="177" spans="1:8">
      <c r="A177" s="45"/>
      <c r="B177" s="45"/>
      <c r="C177" s="45"/>
      <c r="D177" s="45"/>
      <c r="E177" s="45"/>
      <c r="F177" s="45"/>
      <c r="G177" s="45"/>
      <c r="H177" s="45"/>
    </row>
    <row r="178" spans="1:8">
      <c r="A178" s="44"/>
      <c r="B178" s="44"/>
      <c r="C178" s="44"/>
      <c r="D178" s="44"/>
      <c r="E178" s="44"/>
      <c r="F178" s="44"/>
      <c r="G178" s="44"/>
      <c r="H178" s="44"/>
    </row>
    <row r="179" spans="1:8">
      <c r="A179" s="45"/>
      <c r="B179" s="45"/>
      <c r="C179" s="45"/>
      <c r="D179" s="45"/>
      <c r="E179" s="45"/>
      <c r="F179" s="45"/>
      <c r="G179" s="45"/>
      <c r="H179" s="45"/>
    </row>
    <row r="180" spans="1:8">
      <c r="A180" s="44"/>
      <c r="B180" s="44"/>
      <c r="C180" s="44"/>
      <c r="D180" s="44"/>
      <c r="E180" s="44"/>
      <c r="F180" s="44"/>
      <c r="G180" s="44"/>
      <c r="H180" s="44"/>
    </row>
    <row r="181" spans="1:8">
      <c r="A181" s="45"/>
      <c r="B181" s="45"/>
      <c r="C181" s="45"/>
      <c r="D181" s="45"/>
      <c r="E181" s="45"/>
      <c r="F181" s="45"/>
      <c r="G181" s="45"/>
      <c r="H181" s="45"/>
    </row>
    <row r="182" spans="1:8">
      <c r="A182" s="44"/>
      <c r="B182" s="44"/>
      <c r="C182" s="44"/>
      <c r="D182" s="44"/>
      <c r="E182" s="44"/>
      <c r="F182" s="44"/>
      <c r="G182" s="44"/>
      <c r="H182" s="44"/>
    </row>
    <row r="183" spans="1:8">
      <c r="A183" s="45"/>
      <c r="B183" s="45"/>
      <c r="C183" s="45"/>
      <c r="D183" s="45"/>
      <c r="E183" s="45"/>
      <c r="F183" s="45"/>
      <c r="G183" s="45"/>
      <c r="H183" s="45"/>
    </row>
    <row r="184" spans="1:8">
      <c r="A184" s="44"/>
      <c r="B184" s="44"/>
      <c r="C184" s="44"/>
      <c r="D184" s="44"/>
      <c r="E184" s="44"/>
      <c r="F184" s="44"/>
      <c r="G184" s="44"/>
      <c r="H184" s="44"/>
    </row>
    <row r="185" spans="1:8">
      <c r="A185" s="45"/>
      <c r="B185" s="45"/>
      <c r="C185" s="45"/>
      <c r="D185" s="45"/>
      <c r="E185" s="45"/>
      <c r="F185" s="45"/>
      <c r="G185" s="45"/>
      <c r="H185" s="45"/>
    </row>
    <row r="186" spans="1:8">
      <c r="A186" s="44"/>
      <c r="B186" s="44"/>
      <c r="C186" s="44"/>
      <c r="D186" s="44"/>
      <c r="E186" s="44"/>
      <c r="F186" s="44"/>
      <c r="G186" s="44"/>
      <c r="H186" s="44"/>
    </row>
    <row r="187" spans="1:8">
      <c r="A187" s="45"/>
      <c r="B187" s="45"/>
      <c r="C187" s="45"/>
      <c r="D187" s="45"/>
      <c r="E187" s="45"/>
      <c r="F187" s="45"/>
      <c r="G187" s="45"/>
      <c r="H187" s="45"/>
    </row>
    <row r="188" spans="1:8">
      <c r="A188" s="44"/>
      <c r="B188" s="44"/>
      <c r="C188" s="44"/>
      <c r="D188" s="44"/>
      <c r="E188" s="44"/>
      <c r="F188" s="44"/>
      <c r="G188" s="44"/>
      <c r="H188" s="44"/>
    </row>
    <row r="189" spans="1:8">
      <c r="A189" s="45"/>
      <c r="B189" s="45"/>
      <c r="C189" s="45"/>
      <c r="D189" s="45"/>
      <c r="E189" s="45"/>
      <c r="F189" s="45"/>
      <c r="G189" s="45"/>
      <c r="H189" s="45"/>
    </row>
    <row r="190" spans="1:8">
      <c r="A190" s="44"/>
      <c r="B190" s="44"/>
      <c r="C190" s="44"/>
      <c r="D190" s="44"/>
      <c r="E190" s="44"/>
      <c r="F190" s="44"/>
      <c r="G190" s="44"/>
      <c r="H190" s="44"/>
    </row>
    <row r="191" spans="1:8">
      <c r="A191" s="45"/>
      <c r="B191" s="45"/>
      <c r="C191" s="45"/>
      <c r="D191" s="45"/>
      <c r="E191" s="45"/>
      <c r="F191" s="45"/>
      <c r="G191" s="45"/>
      <c r="H191" s="45"/>
    </row>
    <row r="192" spans="1:8">
      <c r="A192" s="44"/>
      <c r="B192" s="44"/>
      <c r="C192" s="44"/>
      <c r="D192" s="44"/>
      <c r="E192" s="44"/>
      <c r="F192" s="44"/>
      <c r="G192" s="44"/>
      <c r="H192" s="44"/>
    </row>
    <row r="193" spans="1:8">
      <c r="A193" s="45"/>
      <c r="B193" s="45"/>
      <c r="C193" s="45"/>
      <c r="D193" s="45"/>
      <c r="E193" s="45"/>
      <c r="F193" s="45"/>
      <c r="G193" s="45"/>
      <c r="H193" s="45"/>
    </row>
    <row r="194" spans="1:8">
      <c r="A194" s="44"/>
      <c r="B194" s="44"/>
      <c r="C194" s="44"/>
      <c r="D194" s="44"/>
      <c r="E194" s="44"/>
      <c r="F194" s="44"/>
      <c r="G194" s="44"/>
      <c r="H194" s="44"/>
    </row>
    <row r="195" spans="1:8">
      <c r="A195" s="45"/>
      <c r="B195" s="45"/>
      <c r="C195" s="45"/>
      <c r="D195" s="45"/>
      <c r="E195" s="45"/>
      <c r="F195" s="45"/>
      <c r="G195" s="45"/>
      <c r="H195" s="45"/>
    </row>
    <row r="196" spans="1:8">
      <c r="A196" s="44"/>
      <c r="B196" s="44"/>
      <c r="C196" s="44"/>
      <c r="D196" s="44"/>
      <c r="E196" s="44"/>
      <c r="F196" s="44"/>
      <c r="G196" s="44"/>
      <c r="H196" s="44"/>
    </row>
    <row r="197" spans="1:8">
      <c r="A197" s="45"/>
      <c r="B197" s="45"/>
      <c r="C197" s="45"/>
      <c r="D197" s="45"/>
      <c r="E197" s="45"/>
      <c r="F197" s="45"/>
      <c r="G197" s="45"/>
      <c r="H197" s="45"/>
    </row>
    <row r="198" spans="1:8">
      <c r="A198" s="44"/>
      <c r="B198" s="44"/>
      <c r="C198" s="44"/>
      <c r="D198" s="44"/>
      <c r="E198" s="44"/>
      <c r="F198" s="44"/>
      <c r="G198" s="44"/>
      <c r="H198" s="44"/>
    </row>
    <row r="199" spans="1:8">
      <c r="A199" s="45"/>
      <c r="B199" s="45"/>
      <c r="C199" s="45"/>
      <c r="D199" s="45"/>
      <c r="E199" s="45"/>
      <c r="F199" s="45"/>
      <c r="G199" s="45"/>
      <c r="H199" s="45"/>
    </row>
    <row r="200" spans="1:8">
      <c r="A200" s="44"/>
      <c r="B200" s="44"/>
      <c r="C200" s="44"/>
      <c r="D200" s="44"/>
      <c r="E200" s="44"/>
      <c r="F200" s="44"/>
      <c r="G200" s="44"/>
      <c r="H200" s="44"/>
    </row>
    <row r="201" spans="1:8">
      <c r="A201" s="45"/>
      <c r="B201" s="45"/>
      <c r="C201" s="45"/>
      <c r="D201" s="45"/>
      <c r="E201" s="45"/>
      <c r="F201" s="45"/>
      <c r="G201" s="45"/>
      <c r="H201" s="45"/>
    </row>
    <row r="202" spans="1:8">
      <c r="A202" s="44"/>
      <c r="B202" s="44"/>
      <c r="C202" s="44"/>
      <c r="D202" s="44"/>
      <c r="E202" s="44"/>
      <c r="F202" s="44"/>
      <c r="G202" s="44"/>
      <c r="H202" s="44"/>
    </row>
    <row r="203" spans="1:8">
      <c r="A203" s="45"/>
      <c r="B203" s="45"/>
      <c r="C203" s="45"/>
      <c r="D203" s="45"/>
      <c r="E203" s="45"/>
      <c r="F203" s="45"/>
      <c r="G203" s="45"/>
      <c r="H203" s="45"/>
    </row>
    <row r="204" spans="1:8">
      <c r="A204" s="44"/>
      <c r="B204" s="44"/>
      <c r="C204" s="44"/>
      <c r="D204" s="44"/>
      <c r="E204" s="44"/>
      <c r="F204" s="44"/>
      <c r="G204" s="44"/>
      <c r="H204" s="44"/>
    </row>
    <row r="205" spans="1:8">
      <c r="A205" s="45"/>
      <c r="B205" s="45"/>
      <c r="C205" s="45"/>
      <c r="D205" s="45"/>
      <c r="E205" s="45"/>
      <c r="F205" s="45"/>
      <c r="G205" s="45"/>
      <c r="H205" s="45"/>
    </row>
    <row r="206" spans="1:8">
      <c r="A206" s="44"/>
      <c r="B206" s="44"/>
      <c r="C206" s="44"/>
      <c r="D206" s="44"/>
      <c r="E206" s="44"/>
      <c r="F206" s="44"/>
      <c r="G206" s="44"/>
      <c r="H206" s="44"/>
    </row>
    <row r="207" spans="1:8">
      <c r="A207" s="45"/>
      <c r="B207" s="45"/>
      <c r="C207" s="45"/>
      <c r="D207" s="45"/>
      <c r="E207" s="45"/>
      <c r="F207" s="45"/>
      <c r="G207" s="45"/>
      <c r="H207" s="45"/>
    </row>
    <row r="208" spans="1:8">
      <c r="A208" s="44"/>
      <c r="B208" s="44"/>
      <c r="C208" s="44"/>
      <c r="D208" s="44"/>
      <c r="E208" s="44"/>
      <c r="F208" s="44"/>
      <c r="G208" s="44"/>
      <c r="H208" s="44"/>
    </row>
    <row r="209" spans="1:8">
      <c r="A209" s="45"/>
      <c r="B209" s="45"/>
      <c r="C209" s="45"/>
      <c r="D209" s="45"/>
      <c r="E209" s="45"/>
      <c r="F209" s="45"/>
      <c r="G209" s="45"/>
      <c r="H209" s="45"/>
    </row>
    <row r="210" spans="1:8">
      <c r="A210" s="44"/>
      <c r="B210" s="44"/>
      <c r="C210" s="44"/>
      <c r="D210" s="44"/>
      <c r="E210" s="44"/>
      <c r="F210" s="44"/>
      <c r="G210" s="44"/>
      <c r="H210" s="44"/>
    </row>
    <row r="211" spans="1:8">
      <c r="A211" s="45"/>
      <c r="B211" s="45"/>
      <c r="C211" s="45"/>
      <c r="D211" s="45"/>
      <c r="E211" s="45"/>
      <c r="F211" s="45"/>
      <c r="G211" s="45"/>
      <c r="H211" s="45"/>
    </row>
    <row r="212" spans="1:8">
      <c r="A212" s="44"/>
      <c r="B212" s="44"/>
      <c r="C212" s="44"/>
      <c r="D212" s="44"/>
      <c r="E212" s="44"/>
      <c r="F212" s="44"/>
      <c r="G212" s="44"/>
      <c r="H212" s="44"/>
    </row>
    <row r="213" spans="1:8">
      <c r="A213" s="45"/>
      <c r="B213" s="45"/>
      <c r="C213" s="45"/>
      <c r="D213" s="45"/>
      <c r="E213" s="45"/>
      <c r="F213" s="45"/>
      <c r="G213" s="45"/>
      <c r="H213" s="45"/>
    </row>
    <row r="214" spans="1:8">
      <c r="A214" s="44"/>
      <c r="B214" s="44"/>
      <c r="C214" s="44"/>
      <c r="D214" s="44"/>
      <c r="E214" s="44"/>
      <c r="F214" s="44"/>
      <c r="G214" s="44"/>
      <c r="H214" s="44"/>
    </row>
    <row r="215" spans="1:8">
      <c r="A215" s="45"/>
      <c r="B215" s="45"/>
      <c r="C215" s="45"/>
      <c r="D215" s="45"/>
      <c r="E215" s="45"/>
      <c r="F215" s="45"/>
      <c r="G215" s="45"/>
      <c r="H215" s="45"/>
    </row>
    <row r="216" spans="1:8">
      <c r="A216" s="44"/>
      <c r="B216" s="44"/>
      <c r="C216" s="44"/>
      <c r="D216" s="44"/>
      <c r="E216" s="44"/>
      <c r="F216" s="44"/>
      <c r="G216" s="44"/>
      <c r="H216" s="44"/>
    </row>
    <row r="217" spans="1:8">
      <c r="A217" s="45"/>
      <c r="B217" s="45"/>
      <c r="C217" s="45"/>
      <c r="D217" s="45"/>
      <c r="E217" s="45"/>
      <c r="F217" s="45"/>
      <c r="G217" s="45"/>
      <c r="H217" s="45"/>
    </row>
    <row r="218" spans="1:8">
      <c r="A218" s="44"/>
      <c r="B218" s="44"/>
      <c r="C218" s="44"/>
      <c r="D218" s="44"/>
      <c r="E218" s="44"/>
      <c r="F218" s="44"/>
      <c r="G218" s="44"/>
      <c r="H218" s="44"/>
    </row>
    <row r="219" spans="1:8">
      <c r="A219" s="45"/>
      <c r="B219" s="45"/>
      <c r="C219" s="45"/>
      <c r="D219" s="45"/>
      <c r="E219" s="45"/>
      <c r="F219" s="45"/>
      <c r="G219" s="45"/>
      <c r="H219" s="45"/>
    </row>
    <row r="220" spans="1:8">
      <c r="A220" s="44"/>
      <c r="B220" s="44"/>
      <c r="C220" s="44"/>
      <c r="D220" s="44"/>
      <c r="E220" s="44"/>
      <c r="F220" s="44"/>
      <c r="G220" s="44"/>
      <c r="H220" s="44"/>
    </row>
    <row r="221" spans="1:8">
      <c r="A221" s="45"/>
      <c r="B221" s="45"/>
      <c r="C221" s="45"/>
      <c r="D221" s="45"/>
      <c r="E221" s="45"/>
      <c r="F221" s="45"/>
      <c r="G221" s="45"/>
      <c r="H221" s="45"/>
    </row>
    <row r="222" spans="1:8">
      <c r="A222" s="44"/>
      <c r="B222" s="44"/>
      <c r="C222" s="44"/>
      <c r="D222" s="44"/>
      <c r="E222" s="44"/>
      <c r="F222" s="44"/>
      <c r="G222" s="44"/>
      <c r="H222" s="44"/>
    </row>
    <row r="223" spans="1:8">
      <c r="A223" s="45"/>
      <c r="B223" s="45"/>
      <c r="C223" s="45"/>
      <c r="D223" s="45"/>
      <c r="E223" s="45"/>
      <c r="F223" s="45"/>
      <c r="G223" s="45"/>
      <c r="H223" s="45"/>
    </row>
    <row r="224" spans="1:8">
      <c r="A224" s="44"/>
      <c r="B224" s="44"/>
      <c r="C224" s="44"/>
      <c r="D224" s="44"/>
      <c r="E224" s="44"/>
      <c r="F224" s="44"/>
      <c r="G224" s="44"/>
      <c r="H224" s="44"/>
    </row>
    <row r="225" spans="1:8">
      <c r="A225" s="45"/>
      <c r="B225" s="45"/>
      <c r="C225" s="45"/>
      <c r="D225" s="45"/>
      <c r="E225" s="45"/>
      <c r="F225" s="45"/>
      <c r="G225" s="45"/>
      <c r="H225" s="45"/>
    </row>
    <row r="226" spans="1:8">
      <c r="A226" s="44"/>
      <c r="B226" s="44"/>
      <c r="C226" s="44"/>
      <c r="D226" s="44"/>
      <c r="E226" s="44"/>
      <c r="F226" s="44"/>
      <c r="G226" s="44"/>
      <c r="H226" s="44"/>
    </row>
    <row r="227" spans="1:8">
      <c r="A227" s="45"/>
      <c r="B227" s="45"/>
      <c r="C227" s="45"/>
      <c r="D227" s="45"/>
      <c r="E227" s="45"/>
      <c r="F227" s="45"/>
      <c r="G227" s="45"/>
      <c r="H227" s="45"/>
    </row>
    <row r="228" spans="1:8">
      <c r="A228" s="44"/>
      <c r="B228" s="44"/>
      <c r="C228" s="44"/>
      <c r="D228" s="44"/>
      <c r="E228" s="44"/>
      <c r="F228" s="44"/>
      <c r="G228" s="44"/>
      <c r="H228" s="44"/>
    </row>
    <row r="229" spans="1:8">
      <c r="A229" s="45"/>
      <c r="B229" s="45"/>
      <c r="C229" s="45"/>
      <c r="D229" s="45"/>
      <c r="E229" s="45"/>
      <c r="F229" s="45"/>
      <c r="G229" s="45"/>
      <c r="H229" s="45"/>
    </row>
    <row r="230" spans="1:8">
      <c r="A230" s="44"/>
      <c r="B230" s="44"/>
      <c r="C230" s="44"/>
      <c r="D230" s="44"/>
      <c r="E230" s="44"/>
      <c r="F230" s="44"/>
      <c r="G230" s="44"/>
      <c r="H230" s="44"/>
    </row>
    <row r="231" spans="1:8">
      <c r="A231" s="45"/>
      <c r="B231" s="45"/>
      <c r="C231" s="45"/>
      <c r="D231" s="45"/>
      <c r="E231" s="45"/>
      <c r="F231" s="45"/>
      <c r="G231" s="45"/>
      <c r="H231" s="45"/>
    </row>
    <row r="232" spans="1:8">
      <c r="A232" s="44"/>
      <c r="B232" s="44"/>
      <c r="C232" s="44"/>
      <c r="D232" s="44"/>
      <c r="E232" s="44"/>
      <c r="F232" s="44"/>
      <c r="G232" s="44"/>
      <c r="H232" s="44"/>
    </row>
    <row r="233" spans="1:8">
      <c r="A233" s="45"/>
      <c r="B233" s="45"/>
      <c r="C233" s="45"/>
      <c r="D233" s="45"/>
      <c r="E233" s="45"/>
      <c r="F233" s="45"/>
      <c r="G233" s="45"/>
      <c r="H233" s="45"/>
    </row>
    <row r="234" spans="1:8">
      <c r="A234" s="44"/>
      <c r="B234" s="44"/>
      <c r="C234" s="44"/>
      <c r="D234" s="44"/>
      <c r="E234" s="44"/>
      <c r="F234" s="44"/>
      <c r="G234" s="44"/>
      <c r="H234" s="44"/>
    </row>
    <row r="235" spans="1:8">
      <c r="A235" s="45"/>
      <c r="B235" s="45"/>
      <c r="C235" s="45"/>
      <c r="D235" s="45"/>
      <c r="E235" s="45"/>
      <c r="F235" s="45"/>
      <c r="G235" s="45"/>
      <c r="H235" s="45"/>
    </row>
    <row r="236" spans="1:8">
      <c r="A236" s="44"/>
      <c r="B236" s="44"/>
      <c r="C236" s="44"/>
      <c r="D236" s="44"/>
      <c r="E236" s="44"/>
      <c r="F236" s="44"/>
      <c r="G236" s="44"/>
      <c r="H236" s="44"/>
    </row>
    <row r="237" spans="1:8">
      <c r="A237" s="45"/>
      <c r="B237" s="45"/>
      <c r="C237" s="45"/>
      <c r="D237" s="45"/>
      <c r="E237" s="45"/>
      <c r="F237" s="45"/>
      <c r="G237" s="45"/>
      <c r="H237" s="45"/>
    </row>
    <row r="238" spans="1:8">
      <c r="A238" s="44"/>
      <c r="B238" s="44"/>
      <c r="C238" s="44"/>
      <c r="D238" s="44"/>
      <c r="E238" s="44"/>
      <c r="F238" s="44"/>
      <c r="G238" s="44"/>
      <c r="H238" s="44"/>
    </row>
    <row r="239" spans="1:8">
      <c r="A239" s="45"/>
      <c r="B239" s="45"/>
      <c r="C239" s="45"/>
      <c r="D239" s="45"/>
      <c r="E239" s="45"/>
      <c r="F239" s="45"/>
      <c r="G239" s="45"/>
      <c r="H239" s="45"/>
    </row>
    <row r="240" spans="1:8">
      <c r="A240" s="44"/>
      <c r="B240" s="44"/>
      <c r="C240" s="44"/>
      <c r="D240" s="44"/>
      <c r="E240" s="44"/>
      <c r="F240" s="44"/>
      <c r="G240" s="44"/>
      <c r="H240" s="44"/>
    </row>
    <row r="241" spans="1:8">
      <c r="A241" s="45"/>
      <c r="B241" s="45"/>
      <c r="C241" s="45"/>
      <c r="D241" s="45"/>
      <c r="E241" s="45"/>
      <c r="F241" s="45"/>
      <c r="G241" s="45"/>
      <c r="H241" s="45"/>
    </row>
    <row r="242" spans="1:8">
      <c r="A242" s="44"/>
      <c r="B242" s="44"/>
      <c r="C242" s="44"/>
      <c r="D242" s="44"/>
      <c r="E242" s="44"/>
      <c r="F242" s="44"/>
      <c r="G242" s="44"/>
      <c r="H242" s="44"/>
    </row>
    <row r="243" spans="1:8">
      <c r="A243" s="45"/>
      <c r="B243" s="45"/>
      <c r="C243" s="45"/>
      <c r="D243" s="45"/>
      <c r="E243" s="45"/>
      <c r="F243" s="45"/>
      <c r="G243" s="45"/>
      <c r="H243" s="45"/>
    </row>
    <row r="244" spans="1:8">
      <c r="A244" s="44"/>
      <c r="B244" s="44"/>
      <c r="C244" s="44"/>
      <c r="D244" s="44"/>
      <c r="E244" s="44"/>
      <c r="F244" s="44"/>
      <c r="G244" s="44"/>
      <c r="H244" s="44"/>
    </row>
    <row r="245" spans="1:8">
      <c r="A245" s="45"/>
      <c r="B245" s="45"/>
      <c r="C245" s="45"/>
      <c r="D245" s="45"/>
      <c r="E245" s="45"/>
      <c r="F245" s="45"/>
      <c r="G245" s="45"/>
      <c r="H245" s="45"/>
    </row>
    <row r="246" spans="1:8">
      <c r="A246" s="44"/>
      <c r="B246" s="44"/>
      <c r="C246" s="44"/>
      <c r="D246" s="44"/>
      <c r="E246" s="44"/>
      <c r="F246" s="44"/>
      <c r="G246" s="44"/>
      <c r="H246" s="44"/>
    </row>
    <row r="247" spans="1:8">
      <c r="A247" s="45"/>
      <c r="B247" s="45"/>
      <c r="C247" s="45"/>
      <c r="D247" s="45"/>
      <c r="E247" s="45"/>
      <c r="F247" s="45"/>
      <c r="G247" s="45"/>
      <c r="H247" s="45"/>
    </row>
    <row r="248" spans="1:8">
      <c r="A248" s="44"/>
      <c r="B248" s="44"/>
      <c r="C248" s="44"/>
      <c r="D248" s="44"/>
      <c r="E248" s="44"/>
      <c r="F248" s="44"/>
      <c r="G248" s="44"/>
      <c r="H248" s="44"/>
    </row>
    <row r="249" spans="1:8">
      <c r="A249" s="45"/>
      <c r="B249" s="45"/>
      <c r="C249" s="45"/>
      <c r="D249" s="45"/>
      <c r="E249" s="45"/>
      <c r="F249" s="45"/>
      <c r="G249" s="45"/>
      <c r="H249" s="45"/>
    </row>
    <row r="250" spans="1:8">
      <c r="A250" s="44"/>
      <c r="B250" s="44"/>
      <c r="C250" s="44"/>
      <c r="D250" s="44"/>
      <c r="E250" s="44"/>
      <c r="F250" s="44"/>
      <c r="G250" s="44"/>
      <c r="H250" s="44"/>
    </row>
    <row r="251" spans="1:8">
      <c r="A251" s="45"/>
      <c r="B251" s="45"/>
      <c r="C251" s="45"/>
      <c r="D251" s="45"/>
      <c r="E251" s="45"/>
      <c r="F251" s="45"/>
      <c r="G251" s="45"/>
      <c r="H251" s="45"/>
    </row>
    <row r="252" spans="1:8">
      <c r="A252" s="44"/>
      <c r="B252" s="44"/>
      <c r="C252" s="44"/>
      <c r="D252" s="44"/>
      <c r="E252" s="44"/>
      <c r="F252" s="44"/>
      <c r="G252" s="44"/>
      <c r="H252" s="44"/>
    </row>
    <row r="253" spans="1:8">
      <c r="A253" s="45"/>
      <c r="B253" s="45"/>
      <c r="C253" s="45"/>
      <c r="D253" s="45"/>
      <c r="E253" s="45"/>
      <c r="F253" s="45"/>
      <c r="G253" s="45"/>
      <c r="H253" s="45"/>
    </row>
    <row r="254" spans="1:8">
      <c r="A254" s="44"/>
      <c r="B254" s="44"/>
      <c r="C254" s="44"/>
      <c r="D254" s="44"/>
      <c r="E254" s="44"/>
      <c r="F254" s="44"/>
      <c r="G254" s="44"/>
      <c r="H254" s="44"/>
    </row>
    <row r="255" spans="1:8">
      <c r="A255" s="45"/>
      <c r="B255" s="45"/>
      <c r="C255" s="45"/>
      <c r="D255" s="45"/>
      <c r="E255" s="45"/>
      <c r="F255" s="45"/>
      <c r="G255" s="45"/>
      <c r="H255" s="45"/>
    </row>
    <row r="256" spans="1:8">
      <c r="A256" s="44"/>
      <c r="B256" s="44"/>
      <c r="C256" s="44"/>
      <c r="D256" s="44"/>
      <c r="E256" s="44"/>
      <c r="F256" s="44"/>
      <c r="G256" s="44"/>
      <c r="H256" s="44"/>
    </row>
    <row r="257" spans="1:8">
      <c r="A257" s="45"/>
      <c r="B257" s="45"/>
      <c r="C257" s="45"/>
      <c r="D257" s="45"/>
      <c r="E257" s="45"/>
      <c r="F257" s="45"/>
      <c r="G257" s="45"/>
      <c r="H257" s="45"/>
    </row>
    <row r="258" spans="1:8">
      <c r="A258" s="44"/>
      <c r="B258" s="44"/>
      <c r="C258" s="44"/>
      <c r="D258" s="44"/>
      <c r="E258" s="44"/>
      <c r="F258" s="44"/>
      <c r="G258" s="44"/>
      <c r="H258" s="44"/>
    </row>
    <row r="259" spans="1:8">
      <c r="A259" s="45"/>
      <c r="B259" s="45"/>
      <c r="C259" s="45"/>
      <c r="D259" s="45"/>
      <c r="E259" s="45"/>
      <c r="F259" s="45"/>
      <c r="G259" s="45"/>
      <c r="H259" s="45"/>
    </row>
    <row r="260" spans="1:8">
      <c r="A260" s="44"/>
      <c r="B260" s="44"/>
      <c r="C260" s="44"/>
      <c r="D260" s="44"/>
      <c r="E260" s="44"/>
      <c r="F260" s="44"/>
      <c r="G260" s="44"/>
      <c r="H260" s="44"/>
    </row>
    <row r="261" spans="1:8">
      <c r="A261" s="45"/>
      <c r="B261" s="45"/>
      <c r="C261" s="45"/>
      <c r="D261" s="45"/>
      <c r="E261" s="45"/>
      <c r="F261" s="45"/>
      <c r="G261" s="45"/>
      <c r="H261" s="45"/>
    </row>
    <row r="262" spans="1:8">
      <c r="A262" s="44"/>
      <c r="B262" s="44"/>
      <c r="C262" s="44"/>
      <c r="D262" s="44"/>
      <c r="E262" s="44"/>
      <c r="F262" s="44"/>
      <c r="G262" s="44"/>
      <c r="H262" s="44"/>
    </row>
    <row r="263" spans="1:8">
      <c r="A263" s="45"/>
      <c r="B263" s="45"/>
      <c r="C263" s="45"/>
      <c r="D263" s="45"/>
      <c r="E263" s="45"/>
      <c r="F263" s="45"/>
      <c r="G263" s="45"/>
      <c r="H263" s="45"/>
    </row>
    <row r="264" spans="1:8">
      <c r="A264" s="44"/>
      <c r="B264" s="44"/>
      <c r="C264" s="44"/>
      <c r="D264" s="44"/>
      <c r="E264" s="44"/>
      <c r="F264" s="44"/>
      <c r="G264" s="44"/>
      <c r="H264" s="44"/>
    </row>
    <row r="265" spans="1:8">
      <c r="A265" s="45"/>
      <c r="B265" s="45"/>
      <c r="C265" s="45"/>
      <c r="D265" s="45"/>
      <c r="E265" s="45"/>
      <c r="F265" s="45"/>
      <c r="G265" s="45"/>
      <c r="H265" s="45"/>
    </row>
    <row r="266" spans="1:8">
      <c r="A266" s="44"/>
      <c r="B266" s="44"/>
      <c r="C266" s="44"/>
      <c r="D266" s="44"/>
      <c r="E266" s="44"/>
      <c r="F266" s="44"/>
      <c r="G266" s="44"/>
      <c r="H266" s="44"/>
    </row>
    <row r="267" spans="1:8">
      <c r="A267" s="45"/>
      <c r="B267" s="45"/>
      <c r="C267" s="45"/>
      <c r="D267" s="45"/>
      <c r="E267" s="45"/>
      <c r="F267" s="45"/>
      <c r="G267" s="45"/>
      <c r="H267" s="45"/>
    </row>
    <row r="268" spans="1:8">
      <c r="A268" s="44"/>
      <c r="B268" s="44"/>
      <c r="C268" s="44"/>
      <c r="D268" s="44"/>
      <c r="E268" s="44"/>
      <c r="F268" s="44"/>
      <c r="G268" s="44"/>
      <c r="H268" s="44"/>
    </row>
    <row r="269" spans="1:8">
      <c r="A269" s="45"/>
      <c r="B269" s="45"/>
      <c r="C269" s="45"/>
      <c r="D269" s="45"/>
      <c r="E269" s="45"/>
      <c r="F269" s="45"/>
      <c r="G269" s="45"/>
      <c r="H269" s="45"/>
    </row>
    <row r="270" spans="1:8">
      <c r="A270" s="44"/>
      <c r="B270" s="44"/>
      <c r="C270" s="44"/>
      <c r="D270" s="44"/>
      <c r="E270" s="44"/>
      <c r="F270" s="44"/>
      <c r="G270" s="44"/>
      <c r="H270" s="44"/>
    </row>
    <row r="271" spans="1:8">
      <c r="A271" s="45"/>
      <c r="B271" s="45"/>
      <c r="C271" s="45"/>
      <c r="D271" s="45"/>
      <c r="E271" s="45"/>
      <c r="F271" s="45"/>
      <c r="G271" s="45"/>
      <c r="H271" s="45"/>
    </row>
    <row r="272" spans="1:8">
      <c r="A272" s="44"/>
      <c r="B272" s="44"/>
      <c r="C272" s="44"/>
      <c r="D272" s="44"/>
      <c r="E272" s="44"/>
      <c r="F272" s="44"/>
      <c r="G272" s="44"/>
      <c r="H272" s="44"/>
    </row>
    <row r="273" spans="1:8">
      <c r="A273" s="45"/>
      <c r="B273" s="45"/>
      <c r="C273" s="45"/>
      <c r="D273" s="45"/>
      <c r="E273" s="45"/>
      <c r="F273" s="45"/>
      <c r="G273" s="45"/>
      <c r="H273" s="45"/>
    </row>
    <row r="274" spans="1:8">
      <c r="A274" s="44"/>
      <c r="B274" s="44"/>
      <c r="C274" s="44"/>
      <c r="D274" s="44"/>
      <c r="E274" s="44"/>
      <c r="F274" s="44"/>
      <c r="G274" s="44"/>
      <c r="H274" s="44"/>
    </row>
    <row r="275" spans="1:8">
      <c r="A275" s="45"/>
      <c r="B275" s="45"/>
      <c r="C275" s="45"/>
      <c r="D275" s="45"/>
      <c r="E275" s="45"/>
      <c r="F275" s="45"/>
      <c r="G275" s="45"/>
      <c r="H275" s="45"/>
    </row>
    <row r="276" spans="1:8">
      <c r="A276" s="44"/>
      <c r="B276" s="44"/>
      <c r="C276" s="44"/>
      <c r="D276" s="44"/>
      <c r="E276" s="44"/>
      <c r="F276" s="44"/>
      <c r="G276" s="44"/>
      <c r="H276" s="44"/>
    </row>
    <row r="277" spans="1:8">
      <c r="A277" s="45"/>
      <c r="B277" s="45"/>
      <c r="C277" s="45"/>
      <c r="D277" s="45"/>
      <c r="E277" s="45"/>
      <c r="F277" s="45"/>
      <c r="G277" s="45"/>
      <c r="H277" s="45"/>
    </row>
    <row r="278" spans="1:8">
      <c r="A278" s="44"/>
      <c r="B278" s="44"/>
      <c r="C278" s="44"/>
      <c r="D278" s="44"/>
      <c r="E278" s="44"/>
      <c r="F278" s="44"/>
      <c r="G278" s="44"/>
      <c r="H278" s="44"/>
    </row>
    <row r="279" spans="1:8">
      <c r="A279" s="45"/>
      <c r="B279" s="45"/>
      <c r="C279" s="45"/>
      <c r="D279" s="45"/>
      <c r="E279" s="45"/>
      <c r="F279" s="45"/>
      <c r="G279" s="45"/>
      <c r="H279" s="45"/>
    </row>
    <row r="280" spans="1:8">
      <c r="A280" s="44"/>
      <c r="B280" s="44"/>
      <c r="C280" s="44"/>
      <c r="D280" s="44"/>
      <c r="E280" s="44"/>
      <c r="F280" s="44"/>
      <c r="G280" s="44"/>
      <c r="H280" s="44"/>
    </row>
    <row r="281" spans="1:8">
      <c r="A281" s="45"/>
      <c r="B281" s="45"/>
      <c r="C281" s="45"/>
      <c r="D281" s="45"/>
      <c r="E281" s="45"/>
      <c r="F281" s="45"/>
      <c r="G281" s="45"/>
      <c r="H281" s="45"/>
    </row>
    <row r="282" spans="1:8">
      <c r="A282" s="44"/>
      <c r="B282" s="44"/>
      <c r="C282" s="44"/>
      <c r="D282" s="44"/>
      <c r="E282" s="44"/>
      <c r="F282" s="44"/>
      <c r="G282" s="44"/>
      <c r="H282" s="44"/>
    </row>
    <row r="283" spans="1:8">
      <c r="A283" s="45"/>
      <c r="B283" s="45"/>
      <c r="C283" s="45"/>
      <c r="D283" s="45"/>
      <c r="E283" s="45"/>
      <c r="F283" s="45"/>
      <c r="G283" s="45"/>
      <c r="H283" s="45"/>
    </row>
    <row r="284" spans="1:8">
      <c r="A284" s="44"/>
      <c r="B284" s="44"/>
      <c r="C284" s="44"/>
      <c r="D284" s="44"/>
      <c r="E284" s="44"/>
      <c r="F284" s="44"/>
      <c r="G284" s="44"/>
      <c r="H284" s="44"/>
    </row>
    <row r="285" spans="1:8">
      <c r="A285" s="45"/>
      <c r="B285" s="45"/>
      <c r="C285" s="45"/>
      <c r="D285" s="45"/>
      <c r="E285" s="45"/>
      <c r="F285" s="45"/>
      <c r="G285" s="45"/>
      <c r="H285" s="45"/>
    </row>
    <row r="286" spans="1:8">
      <c r="A286" s="44"/>
      <c r="B286" s="44"/>
      <c r="C286" s="44"/>
      <c r="D286" s="44"/>
      <c r="E286" s="44"/>
      <c r="F286" s="44"/>
      <c r="G286" s="44"/>
      <c r="H286" s="44"/>
    </row>
    <row r="287" spans="1:8">
      <c r="A287" s="45"/>
      <c r="B287" s="45"/>
      <c r="C287" s="45"/>
      <c r="D287" s="45"/>
      <c r="E287" s="45"/>
      <c r="F287" s="45"/>
      <c r="G287" s="45"/>
      <c r="H287" s="45"/>
    </row>
    <row r="288" spans="1:8">
      <c r="A288" s="44"/>
      <c r="B288" s="44"/>
      <c r="C288" s="44"/>
      <c r="D288" s="44"/>
      <c r="E288" s="44"/>
      <c r="F288" s="44"/>
      <c r="G288" s="44"/>
      <c r="H288" s="44"/>
    </row>
    <row r="289" spans="1:8">
      <c r="A289" s="45"/>
      <c r="B289" s="45"/>
      <c r="C289" s="45"/>
      <c r="D289" s="45"/>
      <c r="E289" s="45"/>
      <c r="F289" s="45"/>
      <c r="G289" s="45"/>
      <c r="H289" s="45"/>
    </row>
    <row r="290" spans="1:8">
      <c r="A290" s="44"/>
      <c r="B290" s="44"/>
      <c r="C290" s="44"/>
      <c r="D290" s="44"/>
      <c r="E290" s="44"/>
      <c r="F290" s="44"/>
      <c r="G290" s="44"/>
      <c r="H290" s="44"/>
    </row>
    <row r="291" spans="1:8">
      <c r="A291" s="45"/>
      <c r="B291" s="45"/>
      <c r="C291" s="45"/>
      <c r="D291" s="45"/>
      <c r="E291" s="45"/>
      <c r="F291" s="45"/>
      <c r="G291" s="45"/>
      <c r="H291" s="45"/>
    </row>
    <row r="292" spans="1:8">
      <c r="A292" s="44"/>
      <c r="B292" s="44"/>
      <c r="C292" s="44"/>
      <c r="D292" s="44"/>
      <c r="E292" s="44"/>
      <c r="F292" s="44"/>
      <c r="G292" s="44"/>
      <c r="H292" s="44"/>
    </row>
    <row r="293" spans="1:8">
      <c r="A293" s="45"/>
      <c r="B293" s="45"/>
      <c r="C293" s="45"/>
      <c r="D293" s="45"/>
      <c r="E293" s="45"/>
      <c r="F293" s="45"/>
      <c r="G293" s="45"/>
      <c r="H293" s="45"/>
    </row>
    <row r="294" spans="1:8">
      <c r="A294" s="44"/>
      <c r="B294" s="44"/>
      <c r="C294" s="44"/>
      <c r="D294" s="44"/>
      <c r="E294" s="44"/>
      <c r="F294" s="44"/>
      <c r="G294" s="44"/>
      <c r="H294" s="44"/>
    </row>
    <row r="295" spans="1:8">
      <c r="A295" s="45"/>
      <c r="B295" s="45"/>
      <c r="C295" s="45"/>
      <c r="D295" s="45"/>
      <c r="E295" s="45"/>
      <c r="F295" s="45"/>
      <c r="G295" s="45"/>
      <c r="H295" s="45"/>
    </row>
    <row r="296" spans="1:8">
      <c r="A296" s="44"/>
      <c r="B296" s="44"/>
      <c r="C296" s="44"/>
      <c r="D296" s="44"/>
      <c r="E296" s="44"/>
      <c r="F296" s="44"/>
      <c r="G296" s="44"/>
      <c r="H296" s="44"/>
    </row>
    <row r="297" spans="1:8">
      <c r="A297" s="45"/>
      <c r="B297" s="45"/>
      <c r="C297" s="45"/>
      <c r="D297" s="45"/>
      <c r="E297" s="45"/>
      <c r="F297" s="45"/>
      <c r="G297" s="45"/>
      <c r="H297" s="45"/>
    </row>
    <row r="298" spans="1:8">
      <c r="A298" s="44"/>
      <c r="B298" s="44"/>
      <c r="C298" s="44"/>
      <c r="D298" s="44"/>
      <c r="E298" s="44"/>
      <c r="F298" s="44"/>
      <c r="G298" s="44"/>
      <c r="H298" s="44"/>
    </row>
    <row r="299" spans="1:8">
      <c r="A299" s="45"/>
      <c r="B299" s="45"/>
      <c r="C299" s="45"/>
      <c r="D299" s="45"/>
      <c r="E299" s="45"/>
      <c r="F299" s="45"/>
      <c r="G299" s="45"/>
      <c r="H299" s="45"/>
    </row>
    <row r="300" spans="1:8">
      <c r="A300" s="44"/>
      <c r="B300" s="44"/>
      <c r="C300" s="44"/>
      <c r="D300" s="44"/>
      <c r="E300" s="44"/>
      <c r="F300" s="44"/>
      <c r="G300" s="44"/>
      <c r="H300" s="44"/>
    </row>
    <row r="301" spans="1:8">
      <c r="A301" s="45"/>
      <c r="B301" s="45"/>
      <c r="C301" s="45"/>
      <c r="D301" s="45"/>
      <c r="E301" s="45"/>
      <c r="F301" s="45"/>
      <c r="G301" s="45"/>
      <c r="H301" s="45"/>
    </row>
    <row r="302" spans="1:8">
      <c r="A302" s="44"/>
      <c r="B302" s="44"/>
      <c r="C302" s="44"/>
      <c r="D302" s="44"/>
      <c r="E302" s="44"/>
      <c r="F302" s="44"/>
      <c r="G302" s="44"/>
      <c r="H302" s="44"/>
    </row>
    <row r="303" spans="1:8">
      <c r="A303" s="45"/>
      <c r="B303" s="45"/>
      <c r="C303" s="45"/>
      <c r="D303" s="45"/>
      <c r="E303" s="45"/>
      <c r="F303" s="45"/>
      <c r="G303" s="45"/>
      <c r="H303" s="45"/>
    </row>
    <row r="304" spans="1:8">
      <c r="A304" s="44"/>
      <c r="B304" s="44"/>
      <c r="C304" s="44"/>
      <c r="D304" s="44"/>
      <c r="E304" s="44"/>
      <c r="F304" s="44"/>
      <c r="G304" s="44"/>
      <c r="H304" s="44"/>
    </row>
    <row r="305" spans="1:8">
      <c r="A305" s="45"/>
      <c r="B305" s="45"/>
      <c r="C305" s="45"/>
      <c r="D305" s="45"/>
      <c r="E305" s="45"/>
      <c r="F305" s="45"/>
      <c r="G305" s="45"/>
      <c r="H305" s="45"/>
    </row>
    <row r="306" spans="1:8">
      <c r="A306" s="44"/>
      <c r="B306" s="44"/>
      <c r="C306" s="44"/>
      <c r="D306" s="44"/>
      <c r="E306" s="44"/>
      <c r="F306" s="44"/>
      <c r="G306" s="44"/>
      <c r="H306" s="44"/>
    </row>
    <row r="307" spans="1:8">
      <c r="A307" s="45"/>
      <c r="B307" s="45"/>
      <c r="C307" s="45"/>
      <c r="D307" s="45"/>
      <c r="E307" s="45"/>
      <c r="F307" s="45"/>
      <c r="G307" s="45"/>
      <c r="H307" s="45"/>
    </row>
    <row r="308" spans="1:8">
      <c r="A308" s="44"/>
      <c r="B308" s="44"/>
      <c r="C308" s="44"/>
      <c r="D308" s="44"/>
      <c r="E308" s="44"/>
      <c r="F308" s="44"/>
      <c r="G308" s="44"/>
      <c r="H308" s="44"/>
    </row>
    <row r="309" spans="1:8">
      <c r="A309" s="45"/>
      <c r="B309" s="45"/>
      <c r="C309" s="45"/>
      <c r="D309" s="45"/>
      <c r="E309" s="45"/>
      <c r="F309" s="45"/>
      <c r="G309" s="45"/>
      <c r="H309" s="45"/>
    </row>
    <row r="310" spans="1:8">
      <c r="A310" s="44"/>
      <c r="B310" s="44"/>
      <c r="C310" s="44"/>
      <c r="D310" s="44"/>
      <c r="E310" s="44"/>
      <c r="F310" s="44"/>
      <c r="G310" s="44"/>
      <c r="H310" s="44"/>
    </row>
    <row r="311" spans="1:8">
      <c r="A311" s="45"/>
      <c r="B311" s="45"/>
      <c r="C311" s="45"/>
      <c r="D311" s="45"/>
      <c r="E311" s="45"/>
      <c r="F311" s="45"/>
      <c r="G311" s="45"/>
      <c r="H311" s="45"/>
    </row>
    <row r="312" spans="1:8">
      <c r="A312" s="44"/>
      <c r="B312" s="44"/>
      <c r="C312" s="44"/>
      <c r="D312" s="44"/>
      <c r="E312" s="44"/>
      <c r="F312" s="44"/>
      <c r="G312" s="44"/>
      <c r="H312" s="44"/>
    </row>
    <row r="313" spans="1:8">
      <c r="A313" s="45"/>
      <c r="B313" s="45"/>
      <c r="C313" s="45"/>
      <c r="D313" s="45"/>
      <c r="E313" s="45"/>
      <c r="F313" s="45"/>
      <c r="G313" s="45"/>
      <c r="H313" s="45"/>
    </row>
    <row r="314" spans="1:8">
      <c r="A314" s="44"/>
      <c r="B314" s="44"/>
      <c r="C314" s="44"/>
      <c r="D314" s="44"/>
      <c r="E314" s="44"/>
      <c r="F314" s="44"/>
      <c r="G314" s="44"/>
      <c r="H314" s="44"/>
    </row>
    <row r="315" spans="1:8">
      <c r="A315" s="45"/>
      <c r="B315" s="45"/>
      <c r="C315" s="45"/>
      <c r="D315" s="45"/>
      <c r="E315" s="45"/>
      <c r="F315" s="45"/>
      <c r="G315" s="45"/>
      <c r="H315" s="45"/>
    </row>
    <row r="316" spans="1:8">
      <c r="A316" s="44"/>
      <c r="B316" s="44"/>
      <c r="C316" s="44"/>
      <c r="D316" s="44"/>
      <c r="E316" s="44"/>
      <c r="F316" s="44"/>
      <c r="G316" s="44"/>
      <c r="H316" s="44"/>
    </row>
    <row r="317" spans="1:8">
      <c r="A317" s="45"/>
      <c r="B317" s="45"/>
      <c r="C317" s="45"/>
      <c r="D317" s="45"/>
      <c r="E317" s="45"/>
      <c r="F317" s="45"/>
      <c r="G317" s="45"/>
      <c r="H317" s="45"/>
    </row>
    <row r="318" spans="1:8">
      <c r="A318" s="44"/>
      <c r="B318" s="44"/>
      <c r="C318" s="44"/>
      <c r="D318" s="44"/>
      <c r="E318" s="44"/>
      <c r="F318" s="44"/>
      <c r="G318" s="44"/>
      <c r="H318" s="44"/>
    </row>
    <row r="319" spans="1:8">
      <c r="A319" s="45"/>
      <c r="B319" s="45"/>
      <c r="C319" s="45"/>
      <c r="D319" s="45"/>
      <c r="E319" s="45"/>
      <c r="F319" s="45"/>
      <c r="G319" s="45"/>
      <c r="H319" s="45"/>
    </row>
    <row r="320" spans="1:8">
      <c r="A320" s="44"/>
      <c r="B320" s="44"/>
      <c r="C320" s="44"/>
      <c r="D320" s="44"/>
      <c r="E320" s="44"/>
      <c r="F320" s="44"/>
      <c r="G320" s="44"/>
      <c r="H320" s="44"/>
    </row>
    <row r="321" spans="1:8">
      <c r="A321" s="45"/>
      <c r="B321" s="45"/>
      <c r="C321" s="45"/>
      <c r="D321" s="45"/>
      <c r="E321" s="45"/>
      <c r="F321" s="45"/>
      <c r="G321" s="45"/>
      <c r="H321" s="45"/>
    </row>
    <row r="322" spans="1:8">
      <c r="A322" s="44"/>
      <c r="B322" s="44"/>
      <c r="C322" s="44"/>
      <c r="D322" s="44"/>
      <c r="E322" s="44"/>
      <c r="F322" s="44"/>
      <c r="G322" s="44"/>
      <c r="H322" s="44"/>
    </row>
    <row r="323" spans="1:8">
      <c r="A323" s="45"/>
      <c r="B323" s="45"/>
      <c r="C323" s="45"/>
      <c r="D323" s="45"/>
      <c r="E323" s="45"/>
      <c r="F323" s="45"/>
      <c r="G323" s="45"/>
      <c r="H323" s="45"/>
    </row>
    <row r="324" spans="1:8">
      <c r="A324" s="44"/>
      <c r="B324" s="44"/>
      <c r="C324" s="44"/>
      <c r="D324" s="44"/>
      <c r="E324" s="44"/>
      <c r="F324" s="44"/>
      <c r="G324" s="44"/>
      <c r="H324" s="44"/>
    </row>
    <row r="325" spans="1:8">
      <c r="A325" s="45"/>
      <c r="B325" s="45"/>
      <c r="C325" s="45"/>
      <c r="D325" s="45"/>
      <c r="E325" s="45"/>
      <c r="F325" s="45"/>
      <c r="G325" s="45"/>
      <c r="H325" s="45"/>
    </row>
    <row r="326" spans="1:8">
      <c r="A326" s="44"/>
      <c r="B326" s="44"/>
      <c r="C326" s="44"/>
      <c r="D326" s="44"/>
      <c r="E326" s="44"/>
      <c r="F326" s="44"/>
      <c r="G326" s="44"/>
      <c r="H326" s="44"/>
    </row>
    <row r="327" spans="1:8">
      <c r="A327" s="45"/>
      <c r="B327" s="45"/>
      <c r="C327" s="45"/>
      <c r="D327" s="45"/>
      <c r="E327" s="45"/>
      <c r="F327" s="45"/>
      <c r="G327" s="45"/>
      <c r="H327" s="45"/>
    </row>
    <row r="328" spans="1:8">
      <c r="A328" s="44"/>
      <c r="B328" s="44"/>
      <c r="C328" s="44"/>
      <c r="D328" s="44"/>
      <c r="E328" s="44"/>
      <c r="F328" s="44"/>
      <c r="G328" s="44"/>
      <c r="H328" s="44"/>
    </row>
    <row r="329" spans="1:8">
      <c r="A329" s="45"/>
      <c r="B329" s="45"/>
      <c r="C329" s="45"/>
      <c r="D329" s="45"/>
      <c r="E329" s="45"/>
      <c r="F329" s="45"/>
      <c r="G329" s="45"/>
      <c r="H329" s="45"/>
    </row>
    <row r="330" spans="1:8">
      <c r="A330" s="44"/>
      <c r="B330" s="44"/>
      <c r="C330" s="44"/>
      <c r="D330" s="44"/>
      <c r="E330" s="44"/>
      <c r="F330" s="44"/>
      <c r="G330" s="44"/>
      <c r="H330" s="44"/>
    </row>
    <row r="331" spans="1:8">
      <c r="A331" s="45"/>
      <c r="B331" s="45"/>
      <c r="C331" s="45"/>
      <c r="D331" s="45"/>
      <c r="E331" s="45"/>
      <c r="F331" s="45"/>
      <c r="G331" s="45"/>
      <c r="H331" s="45"/>
    </row>
    <row r="332" spans="1:8">
      <c r="A332" s="44"/>
      <c r="B332" s="44"/>
      <c r="C332" s="44"/>
      <c r="D332" s="44"/>
      <c r="E332" s="44"/>
      <c r="F332" s="44"/>
      <c r="G332" s="44"/>
      <c r="H332" s="44"/>
    </row>
    <row r="333" spans="1:8">
      <c r="A333" s="45"/>
      <c r="B333" s="45"/>
      <c r="C333" s="45"/>
      <c r="D333" s="45"/>
      <c r="E333" s="45"/>
      <c r="F333" s="45"/>
      <c r="G333" s="45"/>
      <c r="H333" s="45"/>
    </row>
    <row r="334" spans="1:8">
      <c r="A334" s="44"/>
      <c r="B334" s="44"/>
      <c r="C334" s="44"/>
      <c r="D334" s="44"/>
      <c r="E334" s="44"/>
      <c r="F334" s="44"/>
      <c r="G334" s="44"/>
      <c r="H334" s="44"/>
    </row>
    <row r="335" spans="1:8">
      <c r="A335" s="45"/>
      <c r="B335" s="45"/>
      <c r="C335" s="45"/>
      <c r="D335" s="45"/>
      <c r="E335" s="45"/>
      <c r="F335" s="45"/>
      <c r="G335" s="45"/>
      <c r="H335" s="45"/>
    </row>
    <row r="336" spans="1:8">
      <c r="A336" s="44"/>
      <c r="B336" s="44"/>
      <c r="C336" s="44"/>
      <c r="D336" s="44"/>
      <c r="E336" s="44"/>
      <c r="F336" s="44"/>
      <c r="G336" s="44"/>
      <c r="H336" s="44"/>
    </row>
    <row r="337" spans="1:8">
      <c r="A337" s="45"/>
      <c r="B337" s="45"/>
      <c r="C337" s="45"/>
      <c r="D337" s="45"/>
      <c r="E337" s="45"/>
      <c r="F337" s="45"/>
      <c r="G337" s="45"/>
      <c r="H337" s="45"/>
    </row>
    <row r="338" spans="1:8">
      <c r="A338" s="44"/>
      <c r="B338" s="44"/>
      <c r="C338" s="44"/>
      <c r="D338" s="44"/>
      <c r="E338" s="44"/>
      <c r="F338" s="44"/>
      <c r="G338" s="44"/>
      <c r="H338" s="44"/>
    </row>
    <row r="339" spans="1:8">
      <c r="A339" s="45"/>
      <c r="B339" s="45"/>
      <c r="C339" s="45"/>
      <c r="D339" s="45"/>
      <c r="E339" s="45"/>
      <c r="F339" s="45"/>
      <c r="G339" s="45"/>
      <c r="H339" s="45"/>
    </row>
    <row r="340" spans="1:8">
      <c r="A340" s="44"/>
      <c r="B340" s="44"/>
      <c r="C340" s="44"/>
      <c r="D340" s="44"/>
      <c r="E340" s="44"/>
      <c r="F340" s="44"/>
      <c r="G340" s="44"/>
      <c r="H340" s="44"/>
    </row>
    <row r="341" spans="1:8">
      <c r="A341" s="45"/>
      <c r="B341" s="45"/>
      <c r="C341" s="45"/>
      <c r="D341" s="45"/>
      <c r="E341" s="45"/>
      <c r="F341" s="45"/>
      <c r="G341" s="45"/>
      <c r="H341" s="45"/>
    </row>
    <row r="342" spans="1:8">
      <c r="A342" s="44"/>
      <c r="B342" s="44"/>
      <c r="C342" s="44"/>
      <c r="D342" s="44"/>
      <c r="E342" s="44"/>
      <c r="F342" s="44"/>
      <c r="G342" s="44"/>
      <c r="H342" s="44"/>
    </row>
    <row r="343" spans="1:8">
      <c r="A343" s="45"/>
      <c r="B343" s="45"/>
      <c r="C343" s="45"/>
      <c r="D343" s="45"/>
      <c r="E343" s="45"/>
      <c r="F343" s="45"/>
      <c r="G343" s="45"/>
      <c r="H343" s="45"/>
    </row>
    <row r="344" spans="1:8">
      <c r="A344" s="44"/>
      <c r="B344" s="44"/>
      <c r="C344" s="44"/>
      <c r="D344" s="44"/>
      <c r="E344" s="44"/>
      <c r="F344" s="44"/>
      <c r="G344" s="44"/>
      <c r="H344" s="44"/>
    </row>
    <row r="345" spans="1:8">
      <c r="A345" s="45"/>
      <c r="B345" s="45"/>
      <c r="C345" s="45"/>
      <c r="D345" s="45"/>
      <c r="E345" s="45"/>
      <c r="F345" s="45"/>
      <c r="G345" s="45"/>
      <c r="H345" s="45"/>
    </row>
    <row r="346" spans="1:8">
      <c r="A346" s="44"/>
      <c r="B346" s="44"/>
      <c r="C346" s="44"/>
      <c r="D346" s="44"/>
      <c r="E346" s="44"/>
      <c r="F346" s="44"/>
      <c r="G346" s="44"/>
      <c r="H346" s="44"/>
    </row>
    <row r="347" spans="1:8">
      <c r="A347" s="45"/>
      <c r="B347" s="45"/>
      <c r="C347" s="45"/>
      <c r="D347" s="45"/>
      <c r="E347" s="45"/>
      <c r="F347" s="45"/>
      <c r="G347" s="45"/>
      <c r="H347" s="45"/>
    </row>
    <row r="348" spans="1:8">
      <c r="A348" s="44"/>
      <c r="B348" s="44"/>
      <c r="C348" s="44"/>
      <c r="D348" s="44"/>
      <c r="E348" s="44"/>
      <c r="F348" s="44"/>
      <c r="G348" s="44"/>
      <c r="H348" s="44"/>
    </row>
    <row r="349" spans="1:8">
      <c r="A349" s="45"/>
      <c r="B349" s="45"/>
      <c r="C349" s="45"/>
      <c r="D349" s="45"/>
      <c r="E349" s="45"/>
      <c r="F349" s="45"/>
      <c r="G349" s="45"/>
      <c r="H349" s="45"/>
    </row>
    <row r="350" spans="1:8">
      <c r="A350" s="44"/>
      <c r="B350" s="44"/>
      <c r="C350" s="44"/>
      <c r="D350" s="44"/>
      <c r="E350" s="44"/>
      <c r="F350" s="44"/>
      <c r="G350" s="44"/>
      <c r="H350" s="44"/>
    </row>
    <row r="351" spans="1:8">
      <c r="A351" s="45"/>
      <c r="B351" s="45"/>
      <c r="C351" s="45"/>
      <c r="D351" s="45"/>
      <c r="E351" s="45"/>
      <c r="F351" s="45"/>
      <c r="G351" s="45"/>
      <c r="H351" s="45"/>
    </row>
    <row r="352" spans="1:8">
      <c r="A352" s="44"/>
      <c r="B352" s="44"/>
      <c r="C352" s="44"/>
      <c r="D352" s="44"/>
      <c r="E352" s="44"/>
      <c r="F352" s="44"/>
      <c r="G352" s="44"/>
      <c r="H352" s="44"/>
    </row>
    <row r="353" spans="1:8">
      <c r="A353" s="45"/>
      <c r="B353" s="45"/>
      <c r="C353" s="45"/>
      <c r="D353" s="45"/>
      <c r="E353" s="45"/>
      <c r="F353" s="45"/>
      <c r="G353" s="45"/>
      <c r="H353" s="45"/>
    </row>
    <row r="354" spans="1:8">
      <c r="A354" s="44"/>
      <c r="B354" s="44"/>
      <c r="C354" s="44"/>
      <c r="D354" s="44"/>
      <c r="E354" s="44"/>
      <c r="F354" s="44"/>
      <c r="G354" s="44"/>
      <c r="H354" s="44"/>
    </row>
    <row r="355" spans="1:8">
      <c r="A355" s="45"/>
      <c r="B355" s="45"/>
      <c r="C355" s="45"/>
      <c r="D355" s="45"/>
      <c r="E355" s="45"/>
      <c r="F355" s="45"/>
      <c r="G355" s="45"/>
      <c r="H355" s="45"/>
    </row>
    <row r="356" spans="1:8">
      <c r="A356" s="44"/>
      <c r="B356" s="44"/>
      <c r="C356" s="44"/>
      <c r="D356" s="44"/>
      <c r="E356" s="44"/>
      <c r="F356" s="44"/>
      <c r="G356" s="44"/>
      <c r="H356" s="44"/>
    </row>
    <row r="357" spans="1:8">
      <c r="A357" s="45"/>
      <c r="B357" s="45"/>
      <c r="C357" s="45"/>
      <c r="D357" s="45"/>
      <c r="E357" s="45"/>
      <c r="F357" s="45"/>
      <c r="G357" s="45"/>
      <c r="H357" s="45"/>
    </row>
    <row r="358" spans="1:8">
      <c r="A358" s="44"/>
      <c r="B358" s="44"/>
      <c r="C358" s="44"/>
      <c r="D358" s="44"/>
      <c r="E358" s="44"/>
      <c r="F358" s="44"/>
      <c r="G358" s="44"/>
      <c r="H358" s="44"/>
    </row>
    <row r="359" spans="1:8">
      <c r="A359" s="45"/>
      <c r="B359" s="45"/>
      <c r="C359" s="45"/>
      <c r="D359" s="45"/>
      <c r="E359" s="45"/>
      <c r="F359" s="45"/>
      <c r="G359" s="45"/>
      <c r="H359" s="45"/>
    </row>
    <row r="360" spans="1:8">
      <c r="A360" s="44"/>
      <c r="B360" s="44"/>
      <c r="C360" s="44"/>
      <c r="D360" s="44"/>
      <c r="E360" s="44"/>
      <c r="F360" s="44"/>
      <c r="G360" s="44"/>
      <c r="H360" s="44"/>
    </row>
    <row r="361" spans="1:8">
      <c r="A361" s="45"/>
      <c r="B361" s="45"/>
      <c r="C361" s="45"/>
      <c r="D361" s="45"/>
      <c r="E361" s="45"/>
      <c r="F361" s="45"/>
      <c r="G361" s="45"/>
      <c r="H361" s="45"/>
    </row>
    <row r="362" spans="1:8">
      <c r="A362" s="44"/>
      <c r="B362" s="44"/>
      <c r="C362" s="44"/>
      <c r="D362" s="44"/>
      <c r="E362" s="44"/>
      <c r="F362" s="44"/>
      <c r="G362" s="44"/>
      <c r="H362" s="44"/>
    </row>
    <row r="363" spans="1:8">
      <c r="A363" s="45"/>
      <c r="B363" s="45"/>
      <c r="C363" s="45"/>
      <c r="D363" s="45"/>
      <c r="E363" s="45"/>
      <c r="F363" s="45"/>
      <c r="G363" s="45"/>
      <c r="H363" s="45"/>
    </row>
    <row r="364" spans="1:8">
      <c r="A364" s="44"/>
      <c r="B364" s="44"/>
      <c r="C364" s="44"/>
      <c r="D364" s="44"/>
      <c r="E364" s="44"/>
      <c r="F364" s="44"/>
      <c r="G364" s="44"/>
      <c r="H364" s="44"/>
    </row>
    <row r="365" spans="1:8">
      <c r="A365" s="45"/>
      <c r="B365" s="45"/>
      <c r="C365" s="45"/>
      <c r="D365" s="45"/>
      <c r="E365" s="45"/>
      <c r="F365" s="45"/>
      <c r="G365" s="45"/>
      <c r="H365" s="45"/>
    </row>
    <row r="366" spans="1:8">
      <c r="A366" s="44"/>
      <c r="B366" s="44"/>
      <c r="C366" s="44"/>
      <c r="D366" s="44"/>
      <c r="E366" s="44"/>
      <c r="F366" s="44"/>
      <c r="G366" s="44"/>
      <c r="H366" s="44"/>
    </row>
    <row r="367" spans="1:8">
      <c r="A367" s="45"/>
      <c r="B367" s="45"/>
      <c r="C367" s="45"/>
      <c r="D367" s="45"/>
      <c r="E367" s="45"/>
      <c r="F367" s="45"/>
      <c r="G367" s="45"/>
      <c r="H367" s="45"/>
    </row>
    <row r="368" spans="1:8">
      <c r="A368" s="44"/>
      <c r="B368" s="44"/>
      <c r="C368" s="44"/>
      <c r="D368" s="44"/>
      <c r="E368" s="44"/>
      <c r="F368" s="44"/>
      <c r="G368" s="44"/>
      <c r="H368" s="44"/>
    </row>
    <row r="369" spans="1:8">
      <c r="A369" s="45"/>
      <c r="B369" s="45"/>
      <c r="C369" s="45"/>
      <c r="D369" s="45"/>
      <c r="E369" s="45"/>
      <c r="F369" s="45"/>
      <c r="G369" s="45"/>
      <c r="H369" s="45"/>
    </row>
    <row r="370" spans="1:8">
      <c r="A370" s="44"/>
      <c r="B370" s="44"/>
      <c r="C370" s="44"/>
      <c r="D370" s="44"/>
      <c r="E370" s="44"/>
      <c r="F370" s="44"/>
      <c r="G370" s="44"/>
      <c r="H370" s="44"/>
    </row>
    <row r="371" spans="1:8">
      <c r="A371" s="45"/>
      <c r="B371" s="45"/>
      <c r="C371" s="45"/>
      <c r="D371" s="45"/>
      <c r="E371" s="45"/>
      <c r="F371" s="45"/>
      <c r="G371" s="45"/>
      <c r="H371" s="45"/>
    </row>
    <row r="372" spans="1:8">
      <c r="A372" s="44"/>
      <c r="B372" s="44"/>
      <c r="C372" s="44"/>
      <c r="D372" s="44"/>
      <c r="E372" s="44"/>
      <c r="F372" s="44"/>
      <c r="G372" s="44"/>
      <c r="H372" s="44"/>
    </row>
    <row r="373" spans="1:8">
      <c r="A373" s="45"/>
      <c r="B373" s="45"/>
      <c r="C373" s="45"/>
      <c r="D373" s="45"/>
      <c r="E373" s="45"/>
      <c r="F373" s="45"/>
      <c r="G373" s="45"/>
      <c r="H373" s="45"/>
    </row>
    <row r="374" spans="1:8">
      <c r="A374" s="44"/>
      <c r="B374" s="44"/>
      <c r="C374" s="44"/>
      <c r="D374" s="44"/>
      <c r="E374" s="44"/>
      <c r="F374" s="44"/>
      <c r="G374" s="44"/>
      <c r="H374" s="44"/>
    </row>
    <row r="375" spans="1:8">
      <c r="A375" s="45"/>
      <c r="B375" s="45"/>
      <c r="C375" s="45"/>
      <c r="D375" s="45"/>
      <c r="E375" s="45"/>
      <c r="F375" s="45"/>
      <c r="G375" s="45"/>
      <c r="H375" s="45"/>
    </row>
    <row r="376" spans="1:8">
      <c r="A376" s="44"/>
      <c r="B376" s="44"/>
      <c r="C376" s="44"/>
      <c r="D376" s="44"/>
      <c r="E376" s="44"/>
      <c r="F376" s="44"/>
      <c r="G376" s="44"/>
      <c r="H376" s="44"/>
    </row>
    <row r="377" spans="1:8">
      <c r="A377" s="45"/>
      <c r="B377" s="45"/>
      <c r="C377" s="45"/>
      <c r="D377" s="45"/>
      <c r="E377" s="45"/>
      <c r="F377" s="45"/>
      <c r="G377" s="45"/>
      <c r="H377" s="45"/>
    </row>
    <row r="378" spans="1:8">
      <c r="A378" s="44"/>
      <c r="B378" s="44"/>
      <c r="C378" s="44"/>
      <c r="D378" s="44"/>
      <c r="E378" s="44"/>
      <c r="F378" s="44"/>
      <c r="G378" s="44"/>
      <c r="H378" s="44"/>
    </row>
    <row r="379" spans="1:8">
      <c r="A379" s="45"/>
      <c r="B379" s="45"/>
      <c r="C379" s="45"/>
      <c r="D379" s="45"/>
      <c r="E379" s="45"/>
      <c r="F379" s="45"/>
      <c r="G379" s="45"/>
      <c r="H379" s="45"/>
    </row>
    <row r="380" spans="1:8">
      <c r="A380" s="44"/>
      <c r="B380" s="44"/>
      <c r="C380" s="44"/>
      <c r="D380" s="44"/>
      <c r="E380" s="44"/>
      <c r="F380" s="44"/>
      <c r="G380" s="44"/>
      <c r="H380" s="44"/>
    </row>
    <row r="381" spans="1:8">
      <c r="A381" s="45"/>
      <c r="B381" s="45"/>
      <c r="C381" s="45"/>
      <c r="D381" s="45"/>
      <c r="E381" s="45"/>
      <c r="F381" s="45"/>
      <c r="G381" s="45"/>
      <c r="H381" s="45"/>
    </row>
    <row r="382" spans="1:8">
      <c r="A382" s="44"/>
      <c r="B382" s="44"/>
      <c r="C382" s="44"/>
      <c r="D382" s="44"/>
      <c r="E382" s="44"/>
      <c r="F382" s="44"/>
      <c r="G382" s="44"/>
      <c r="H382" s="44"/>
    </row>
    <row r="383" spans="1:8">
      <c r="A383" s="45"/>
      <c r="B383" s="45"/>
      <c r="C383" s="45"/>
      <c r="D383" s="45"/>
      <c r="E383" s="45"/>
      <c r="F383" s="45"/>
      <c r="G383" s="45"/>
      <c r="H383" s="45"/>
    </row>
    <row r="384" spans="1:8">
      <c r="A384" s="44"/>
      <c r="B384" s="44"/>
      <c r="C384" s="44"/>
      <c r="D384" s="44"/>
      <c r="E384" s="44"/>
      <c r="F384" s="44"/>
      <c r="G384" s="44"/>
      <c r="H384" s="44"/>
    </row>
    <row r="385" spans="1:8">
      <c r="A385" s="45"/>
      <c r="B385" s="45"/>
      <c r="C385" s="45"/>
      <c r="D385" s="45"/>
      <c r="E385" s="45"/>
      <c r="F385" s="45"/>
      <c r="G385" s="45"/>
      <c r="H385" s="45"/>
    </row>
    <row r="386" spans="1:8">
      <c r="A386" s="44"/>
      <c r="B386" s="44"/>
      <c r="C386" s="44"/>
      <c r="D386" s="44"/>
      <c r="E386" s="44"/>
      <c r="F386" s="44"/>
      <c r="G386" s="44"/>
      <c r="H386" s="44"/>
    </row>
    <row r="387" spans="1:8">
      <c r="A387" s="45"/>
      <c r="B387" s="45"/>
      <c r="C387" s="45"/>
      <c r="D387" s="45"/>
      <c r="E387" s="45"/>
      <c r="F387" s="45"/>
      <c r="G387" s="45"/>
      <c r="H387" s="45"/>
    </row>
    <row r="388" spans="1:8">
      <c r="A388" s="44"/>
      <c r="B388" s="44"/>
      <c r="C388" s="44"/>
      <c r="D388" s="44"/>
      <c r="E388" s="44"/>
      <c r="F388" s="44"/>
      <c r="G388" s="44"/>
      <c r="H388" s="44"/>
    </row>
    <row r="389" spans="1:8">
      <c r="A389" s="45"/>
      <c r="B389" s="45"/>
      <c r="C389" s="45"/>
      <c r="D389" s="45"/>
      <c r="E389" s="45"/>
      <c r="F389" s="45"/>
      <c r="G389" s="45"/>
      <c r="H389" s="45"/>
    </row>
    <row r="390" spans="1:8">
      <c r="A390" s="44"/>
      <c r="B390" s="44"/>
      <c r="C390" s="44"/>
      <c r="D390" s="44"/>
      <c r="E390" s="44"/>
      <c r="F390" s="44"/>
      <c r="G390" s="44"/>
      <c r="H390" s="44"/>
    </row>
    <row r="391" spans="1:8">
      <c r="A391" s="45"/>
      <c r="B391" s="45"/>
      <c r="C391" s="45"/>
      <c r="D391" s="45"/>
      <c r="E391" s="45"/>
      <c r="F391" s="45"/>
      <c r="G391" s="45"/>
      <c r="H391" s="45"/>
    </row>
    <row r="392" spans="1:8">
      <c r="A392" s="44"/>
      <c r="B392" s="44"/>
      <c r="C392" s="44"/>
      <c r="D392" s="44"/>
      <c r="E392" s="44"/>
      <c r="F392" s="44"/>
      <c r="G392" s="44"/>
      <c r="H392" s="44"/>
    </row>
    <row r="393" spans="1:8">
      <c r="A393" s="45"/>
      <c r="B393" s="45"/>
      <c r="C393" s="45"/>
      <c r="D393" s="45"/>
      <c r="E393" s="45"/>
      <c r="F393" s="45"/>
      <c r="G393" s="45"/>
      <c r="H393" s="45"/>
    </row>
    <row r="394" spans="1:8">
      <c r="A394" s="44"/>
      <c r="B394" s="44"/>
      <c r="C394" s="44"/>
      <c r="D394" s="44"/>
      <c r="E394" s="44"/>
      <c r="F394" s="44"/>
      <c r="G394" s="44"/>
      <c r="H394" s="44"/>
    </row>
    <row r="395" spans="1:8">
      <c r="A395" s="45"/>
      <c r="B395" s="45"/>
      <c r="C395" s="45"/>
      <c r="D395" s="45"/>
      <c r="E395" s="45"/>
      <c r="F395" s="45"/>
      <c r="G395" s="45"/>
      <c r="H395" s="45"/>
    </row>
    <row r="396" spans="1:8">
      <c r="A396" s="44"/>
      <c r="B396" s="44"/>
      <c r="C396" s="44"/>
      <c r="D396" s="44"/>
      <c r="E396" s="44"/>
      <c r="F396" s="44"/>
      <c r="G396" s="44"/>
      <c r="H396" s="44"/>
    </row>
    <row r="397" spans="1:8">
      <c r="A397" s="45"/>
      <c r="B397" s="45"/>
      <c r="C397" s="45"/>
      <c r="D397" s="45"/>
      <c r="E397" s="45"/>
      <c r="F397" s="45"/>
      <c r="G397" s="45"/>
      <c r="H397" s="45"/>
    </row>
    <row r="398" spans="1:8">
      <c r="A398" s="44"/>
      <c r="B398" s="44"/>
      <c r="C398" s="44"/>
      <c r="D398" s="44"/>
      <c r="E398" s="44"/>
      <c r="F398" s="44"/>
      <c r="G398" s="44"/>
      <c r="H398" s="44"/>
    </row>
    <row r="399" spans="1:8">
      <c r="A399" s="45"/>
      <c r="B399" s="45"/>
      <c r="C399" s="45"/>
      <c r="D399" s="45"/>
      <c r="E399" s="45"/>
      <c r="F399" s="45"/>
      <c r="G399" s="45"/>
      <c r="H399" s="45"/>
    </row>
    <row r="400" spans="1:8">
      <c r="A400" s="44"/>
      <c r="B400" s="44"/>
      <c r="C400" s="44"/>
      <c r="D400" s="44"/>
      <c r="E400" s="44"/>
      <c r="F400" s="44"/>
      <c r="G400" s="44"/>
      <c r="H400" s="44"/>
    </row>
    <row r="401" spans="1:8">
      <c r="A401" s="45"/>
      <c r="B401" s="45"/>
      <c r="C401" s="45"/>
      <c r="D401" s="45"/>
      <c r="E401" s="45"/>
      <c r="F401" s="45"/>
      <c r="G401" s="45"/>
      <c r="H401" s="45"/>
    </row>
    <row r="402" spans="1:8">
      <c r="A402" s="44"/>
      <c r="B402" s="44"/>
      <c r="C402" s="44"/>
      <c r="D402" s="44"/>
      <c r="E402" s="44"/>
      <c r="F402" s="44"/>
      <c r="G402" s="44"/>
      <c r="H402" s="44"/>
    </row>
    <row r="403" spans="1:8">
      <c r="A403" s="45"/>
      <c r="B403" s="45"/>
      <c r="C403" s="45"/>
      <c r="D403" s="45"/>
      <c r="E403" s="45"/>
      <c r="F403" s="45"/>
      <c r="G403" s="45"/>
      <c r="H403" s="45"/>
    </row>
    <row r="404" spans="1:8">
      <c r="A404" s="44"/>
      <c r="B404" s="44"/>
      <c r="C404" s="44"/>
      <c r="D404" s="44"/>
      <c r="E404" s="44"/>
      <c r="F404" s="44"/>
      <c r="G404" s="44"/>
      <c r="H404" s="44"/>
    </row>
    <row r="405" spans="1:8">
      <c r="A405" s="45"/>
      <c r="B405" s="45"/>
      <c r="C405" s="45"/>
      <c r="D405" s="45"/>
      <c r="E405" s="45"/>
      <c r="F405" s="45"/>
      <c r="G405" s="45"/>
      <c r="H405" s="45"/>
    </row>
    <row r="406" spans="1:8">
      <c r="A406" s="44"/>
      <c r="B406" s="44"/>
      <c r="C406" s="44"/>
      <c r="D406" s="44"/>
      <c r="E406" s="44"/>
      <c r="F406" s="44"/>
      <c r="G406" s="44"/>
      <c r="H406" s="44"/>
    </row>
    <row r="407" spans="1:8">
      <c r="A407" s="45"/>
      <c r="B407" s="45"/>
      <c r="C407" s="45"/>
      <c r="D407" s="45"/>
      <c r="E407" s="45"/>
      <c r="F407" s="45"/>
      <c r="G407" s="45"/>
      <c r="H407" s="45"/>
    </row>
    <row r="408" spans="1:8">
      <c r="A408" s="44"/>
      <c r="B408" s="44"/>
      <c r="C408" s="44"/>
      <c r="D408" s="44"/>
      <c r="E408" s="44"/>
      <c r="F408" s="44"/>
      <c r="G408" s="44"/>
      <c r="H408" s="44"/>
    </row>
    <row r="409" spans="1:8">
      <c r="A409" s="45"/>
      <c r="B409" s="45"/>
      <c r="C409" s="45"/>
      <c r="D409" s="45"/>
      <c r="E409" s="45"/>
      <c r="F409" s="45"/>
      <c r="G409" s="45"/>
      <c r="H409" s="45"/>
    </row>
    <row r="410" spans="1:8">
      <c r="A410" s="44"/>
      <c r="B410" s="44"/>
      <c r="C410" s="44"/>
      <c r="D410" s="44"/>
      <c r="E410" s="44"/>
      <c r="F410" s="44"/>
      <c r="G410" s="44"/>
      <c r="H410" s="44"/>
    </row>
    <row r="411" spans="1:8">
      <c r="A411" s="45"/>
      <c r="B411" s="45"/>
      <c r="C411" s="45"/>
      <c r="D411" s="45"/>
      <c r="E411" s="45"/>
      <c r="F411" s="45"/>
      <c r="G411" s="45"/>
      <c r="H411" s="45"/>
    </row>
    <row r="412" spans="1:8">
      <c r="A412" s="44"/>
      <c r="B412" s="44"/>
      <c r="C412" s="44"/>
      <c r="D412" s="44"/>
      <c r="E412" s="44"/>
      <c r="F412" s="44"/>
      <c r="G412" s="44"/>
      <c r="H412" s="44"/>
    </row>
    <row r="413" spans="1:8">
      <c r="A413" s="45"/>
      <c r="B413" s="45"/>
      <c r="C413" s="45"/>
      <c r="D413" s="45"/>
      <c r="E413" s="45"/>
      <c r="F413" s="45"/>
      <c r="G413" s="45"/>
      <c r="H413" s="45"/>
    </row>
    <row r="414" spans="1:8">
      <c r="A414" s="44"/>
      <c r="B414" s="44"/>
      <c r="C414" s="44"/>
      <c r="D414" s="44"/>
      <c r="E414" s="44"/>
      <c r="F414" s="44"/>
      <c r="G414" s="44"/>
      <c r="H414" s="44"/>
    </row>
    <row r="415" spans="1:8">
      <c r="A415" s="45"/>
      <c r="B415" s="45"/>
      <c r="C415" s="45"/>
      <c r="D415" s="45"/>
      <c r="E415" s="45"/>
      <c r="F415" s="45"/>
      <c r="G415" s="45"/>
      <c r="H415" s="45"/>
    </row>
    <row r="416" spans="1:8">
      <c r="A416" s="44"/>
      <c r="B416" s="44"/>
      <c r="C416" s="44"/>
      <c r="D416" s="44"/>
      <c r="E416" s="44"/>
      <c r="F416" s="44"/>
      <c r="G416" s="44"/>
      <c r="H416" s="44"/>
    </row>
    <row r="417" spans="1:8">
      <c r="A417" s="45"/>
      <c r="B417" s="45"/>
      <c r="C417" s="45"/>
      <c r="D417" s="45"/>
      <c r="E417" s="45"/>
      <c r="F417" s="45"/>
      <c r="G417" s="45"/>
      <c r="H417" s="45"/>
    </row>
    <row r="418" spans="1:8">
      <c r="A418" s="44"/>
      <c r="B418" s="44"/>
      <c r="C418" s="44"/>
      <c r="D418" s="44"/>
      <c r="E418" s="44"/>
      <c r="F418" s="44"/>
      <c r="G418" s="44"/>
      <c r="H418" s="44"/>
    </row>
    <row r="419" spans="1:8">
      <c r="A419" s="45"/>
      <c r="B419" s="45"/>
      <c r="C419" s="45"/>
      <c r="D419" s="45"/>
      <c r="E419" s="45"/>
      <c r="F419" s="45"/>
      <c r="G419" s="45"/>
      <c r="H419" s="45"/>
    </row>
    <row r="420" spans="1:8">
      <c r="A420" s="44"/>
      <c r="B420" s="44"/>
      <c r="C420" s="44"/>
      <c r="D420" s="44"/>
      <c r="E420" s="44"/>
      <c r="F420" s="44"/>
      <c r="G420" s="44"/>
      <c r="H420" s="44"/>
    </row>
    <row r="421" spans="1:8">
      <c r="A421" s="45"/>
      <c r="B421" s="45"/>
      <c r="C421" s="45"/>
      <c r="D421" s="45"/>
      <c r="E421" s="45"/>
      <c r="F421" s="45"/>
      <c r="G421" s="45"/>
      <c r="H421" s="45"/>
    </row>
    <row r="422" spans="1:8">
      <c r="A422" s="44"/>
      <c r="B422" s="44"/>
      <c r="C422" s="44"/>
      <c r="D422" s="44"/>
      <c r="E422" s="44"/>
      <c r="F422" s="44"/>
      <c r="G422" s="44"/>
      <c r="H422" s="44"/>
    </row>
    <row r="423" spans="1:8">
      <c r="A423" s="45"/>
      <c r="B423" s="45"/>
      <c r="C423" s="45"/>
      <c r="D423" s="45"/>
      <c r="E423" s="45"/>
      <c r="F423" s="45"/>
      <c r="G423" s="45"/>
      <c r="H423" s="45"/>
    </row>
    <row r="424" spans="1:8">
      <c r="A424" s="44"/>
      <c r="B424" s="44"/>
      <c r="C424" s="44"/>
      <c r="D424" s="44"/>
      <c r="E424" s="44"/>
      <c r="F424" s="44"/>
      <c r="G424" s="44"/>
      <c r="H424" s="44"/>
    </row>
    <row r="425" spans="1:8">
      <c r="A425" s="45"/>
      <c r="B425" s="45"/>
      <c r="C425" s="45"/>
      <c r="D425" s="45"/>
      <c r="E425" s="45"/>
      <c r="F425" s="45"/>
      <c r="G425" s="45"/>
      <c r="H425" s="45"/>
    </row>
    <row r="426" spans="1:8">
      <c r="A426" s="44"/>
      <c r="B426" s="44"/>
      <c r="C426" s="44"/>
      <c r="D426" s="44"/>
      <c r="E426" s="44"/>
      <c r="F426" s="44"/>
      <c r="G426" s="44"/>
      <c r="H426" s="44"/>
    </row>
    <row r="427" spans="1:8">
      <c r="A427" s="45"/>
      <c r="B427" s="45"/>
      <c r="C427" s="45"/>
      <c r="D427" s="45"/>
      <c r="E427" s="45"/>
      <c r="F427" s="45"/>
      <c r="G427" s="45"/>
      <c r="H427" s="45"/>
    </row>
    <row r="428" spans="1:8">
      <c r="A428" s="44"/>
      <c r="B428" s="44"/>
      <c r="C428" s="44"/>
      <c r="D428" s="44"/>
      <c r="E428" s="44"/>
      <c r="F428" s="44"/>
      <c r="G428" s="44"/>
      <c r="H428" s="44"/>
    </row>
    <row r="429" spans="1:8">
      <c r="A429" s="45"/>
      <c r="B429" s="45"/>
      <c r="C429" s="45"/>
      <c r="D429" s="45"/>
      <c r="E429" s="45"/>
      <c r="F429" s="45"/>
      <c r="G429" s="45"/>
      <c r="H429" s="45"/>
    </row>
    <row r="430" spans="1:8">
      <c r="A430" s="44"/>
      <c r="B430" s="44"/>
      <c r="C430" s="44"/>
      <c r="D430" s="44"/>
      <c r="E430" s="44"/>
      <c r="F430" s="44"/>
      <c r="G430" s="44"/>
      <c r="H430" s="44"/>
    </row>
    <row r="431" spans="1:8">
      <c r="A431" s="45"/>
      <c r="B431" s="45"/>
      <c r="C431" s="45"/>
      <c r="D431" s="45"/>
      <c r="E431" s="45"/>
      <c r="F431" s="45"/>
      <c r="G431" s="45"/>
      <c r="H431" s="45"/>
    </row>
    <row r="432" spans="1:8">
      <c r="A432" s="44"/>
      <c r="B432" s="44"/>
      <c r="C432" s="44"/>
      <c r="D432" s="44"/>
      <c r="E432" s="44"/>
      <c r="F432" s="44"/>
      <c r="G432" s="44"/>
      <c r="H432" s="44"/>
    </row>
    <row r="433" spans="1:8">
      <c r="A433" s="45"/>
      <c r="B433" s="45"/>
      <c r="C433" s="45"/>
      <c r="D433" s="45"/>
      <c r="E433" s="45"/>
      <c r="F433" s="45"/>
      <c r="G433" s="45"/>
      <c r="H433" s="45"/>
    </row>
    <row r="434" spans="1:8">
      <c r="A434" s="44"/>
      <c r="B434" s="44"/>
      <c r="C434" s="44"/>
      <c r="D434" s="44"/>
      <c r="E434" s="44"/>
      <c r="F434" s="44"/>
      <c r="G434" s="44"/>
      <c r="H434" s="44"/>
    </row>
    <row r="435" spans="1:8">
      <c r="A435" s="45"/>
      <c r="B435" s="45"/>
      <c r="C435" s="45"/>
      <c r="D435" s="45"/>
      <c r="E435" s="45"/>
      <c r="F435" s="45"/>
      <c r="G435" s="45"/>
      <c r="H435" s="45"/>
    </row>
    <row r="436" spans="1:8">
      <c r="A436" s="44"/>
      <c r="B436" s="44"/>
      <c r="C436" s="44"/>
      <c r="D436" s="44"/>
      <c r="E436" s="44"/>
      <c r="F436" s="44"/>
      <c r="G436" s="44"/>
      <c r="H436" s="44"/>
    </row>
    <row r="437" spans="1:8">
      <c r="A437" s="45"/>
      <c r="B437" s="45"/>
      <c r="C437" s="45"/>
      <c r="D437" s="45"/>
      <c r="E437" s="45"/>
      <c r="F437" s="45"/>
      <c r="G437" s="45"/>
      <c r="H437" s="45"/>
    </row>
    <row r="438" spans="1:8">
      <c r="A438" s="44"/>
      <c r="B438" s="44"/>
      <c r="C438" s="44"/>
      <c r="D438" s="44"/>
      <c r="E438" s="44"/>
      <c r="F438" s="44"/>
      <c r="G438" s="44"/>
      <c r="H438" s="44"/>
    </row>
    <row r="439" spans="1:8">
      <c r="A439" s="45"/>
      <c r="B439" s="45"/>
      <c r="C439" s="45"/>
      <c r="D439" s="45"/>
      <c r="E439" s="45"/>
      <c r="F439" s="45"/>
      <c r="G439" s="45"/>
      <c r="H439" s="45"/>
    </row>
    <row r="440" spans="1:8">
      <c r="A440" s="44"/>
      <c r="B440" s="44"/>
      <c r="C440" s="44"/>
      <c r="D440" s="44"/>
      <c r="E440" s="44"/>
      <c r="F440" s="44"/>
      <c r="G440" s="44"/>
      <c r="H440" s="44"/>
    </row>
    <row r="441" spans="1:8">
      <c r="A441" s="45"/>
      <c r="B441" s="45"/>
      <c r="C441" s="45"/>
      <c r="D441" s="45"/>
      <c r="E441" s="45"/>
      <c r="F441" s="45"/>
      <c r="G441" s="45"/>
      <c r="H441" s="45"/>
    </row>
    <row r="442" spans="1:8">
      <c r="A442" s="44"/>
      <c r="B442" s="44"/>
      <c r="C442" s="44"/>
      <c r="D442" s="44"/>
      <c r="E442" s="44"/>
      <c r="F442" s="44"/>
      <c r="G442" s="44"/>
      <c r="H442" s="44"/>
    </row>
    <row r="443" spans="1:8">
      <c r="A443" s="45"/>
      <c r="B443" s="45"/>
      <c r="C443" s="45"/>
      <c r="D443" s="45"/>
      <c r="E443" s="45"/>
      <c r="F443" s="45"/>
      <c r="G443" s="45"/>
      <c r="H443" s="45"/>
    </row>
    <row r="444" spans="1:8">
      <c r="A444" s="44"/>
      <c r="B444" s="44"/>
      <c r="C444" s="44"/>
      <c r="D444" s="44"/>
      <c r="E444" s="44"/>
      <c r="F444" s="44"/>
      <c r="G444" s="44"/>
      <c r="H444" s="44"/>
    </row>
    <row r="445" spans="1:8">
      <c r="A445" s="45"/>
      <c r="B445" s="45"/>
      <c r="C445" s="45"/>
      <c r="D445" s="45"/>
      <c r="E445" s="45"/>
      <c r="F445" s="45"/>
      <c r="G445" s="45"/>
      <c r="H445" s="45"/>
    </row>
    <row r="446" spans="1:8">
      <c r="A446" s="44"/>
      <c r="B446" s="44"/>
      <c r="C446" s="44"/>
      <c r="D446" s="44"/>
      <c r="E446" s="44"/>
      <c r="F446" s="44"/>
      <c r="G446" s="44"/>
      <c r="H446" s="44"/>
    </row>
    <row r="447" spans="1:8">
      <c r="A447" s="45"/>
      <c r="B447" s="45"/>
      <c r="C447" s="45"/>
      <c r="D447" s="45"/>
      <c r="E447" s="45"/>
      <c r="F447" s="45"/>
      <c r="G447" s="45"/>
      <c r="H447" s="45"/>
    </row>
    <row r="448" spans="1:8">
      <c r="A448" s="44"/>
      <c r="B448" s="44"/>
      <c r="C448" s="44"/>
      <c r="D448" s="44"/>
      <c r="E448" s="44"/>
      <c r="F448" s="44"/>
      <c r="G448" s="44"/>
      <c r="H448" s="44"/>
    </row>
    <row r="449" spans="1:8">
      <c r="A449" s="45"/>
      <c r="B449" s="45"/>
      <c r="C449" s="45"/>
      <c r="D449" s="45"/>
      <c r="E449" s="45"/>
      <c r="F449" s="45"/>
      <c r="G449" s="45"/>
      <c r="H449" s="45"/>
    </row>
    <row r="450" spans="1:8">
      <c r="A450" s="44"/>
      <c r="B450" s="44"/>
      <c r="C450" s="44"/>
      <c r="D450" s="44"/>
      <c r="E450" s="44"/>
      <c r="F450" s="44"/>
      <c r="G450" s="44"/>
      <c r="H450" s="44"/>
    </row>
    <row r="451" spans="1:8">
      <c r="A451" s="45"/>
      <c r="B451" s="45"/>
      <c r="C451" s="45"/>
      <c r="D451" s="45"/>
      <c r="E451" s="45"/>
      <c r="F451" s="45"/>
      <c r="G451" s="45"/>
      <c r="H451" s="45"/>
    </row>
    <row r="452" spans="1:8">
      <c r="A452" s="44"/>
      <c r="B452" s="44"/>
      <c r="C452" s="44"/>
      <c r="D452" s="44"/>
      <c r="E452" s="44"/>
      <c r="F452" s="44"/>
      <c r="G452" s="44"/>
      <c r="H452" s="44"/>
    </row>
    <row r="453" spans="1:8">
      <c r="A453" s="45"/>
      <c r="B453" s="45"/>
      <c r="C453" s="45"/>
      <c r="D453" s="45"/>
      <c r="E453" s="45"/>
      <c r="F453" s="45"/>
      <c r="G453" s="45"/>
      <c r="H453" s="45"/>
    </row>
    <row r="454" spans="1:8">
      <c r="A454" s="44"/>
      <c r="B454" s="44"/>
      <c r="C454" s="44"/>
      <c r="D454" s="44"/>
      <c r="E454" s="44"/>
      <c r="F454" s="44"/>
      <c r="G454" s="44"/>
      <c r="H454" s="44"/>
    </row>
    <row r="455" spans="1:8">
      <c r="A455" s="45"/>
      <c r="B455" s="45"/>
      <c r="C455" s="45"/>
      <c r="D455" s="45"/>
      <c r="E455" s="45"/>
      <c r="F455" s="45"/>
      <c r="G455" s="45"/>
      <c r="H455" s="45"/>
    </row>
    <row r="456" spans="1:8">
      <c r="A456" s="44"/>
      <c r="B456" s="44"/>
      <c r="C456" s="44"/>
      <c r="D456" s="44"/>
      <c r="E456" s="44"/>
      <c r="F456" s="44"/>
      <c r="G456" s="44"/>
      <c r="H456" s="44"/>
    </row>
    <row r="457" spans="1:8">
      <c r="A457" s="45"/>
      <c r="B457" s="45"/>
      <c r="C457" s="45"/>
      <c r="D457" s="45"/>
      <c r="E457" s="45"/>
      <c r="F457" s="45"/>
      <c r="G457" s="45"/>
      <c r="H457" s="45"/>
    </row>
    <row r="458" spans="1:8">
      <c r="A458" s="44"/>
      <c r="B458" s="44"/>
      <c r="C458" s="44"/>
      <c r="D458" s="44"/>
      <c r="E458" s="44"/>
      <c r="F458" s="44"/>
      <c r="G458" s="44"/>
      <c r="H458" s="44"/>
    </row>
    <row r="459" spans="1:8">
      <c r="A459" s="45"/>
      <c r="B459" s="45"/>
      <c r="C459" s="45"/>
      <c r="D459" s="45"/>
      <c r="E459" s="45"/>
      <c r="F459" s="45"/>
      <c r="G459" s="45"/>
      <c r="H459" s="45"/>
    </row>
    <row r="460" spans="1:8">
      <c r="A460" s="44"/>
      <c r="B460" s="44"/>
      <c r="C460" s="44"/>
      <c r="D460" s="44"/>
      <c r="E460" s="44"/>
      <c r="F460" s="44"/>
      <c r="G460" s="44"/>
      <c r="H460" s="44"/>
    </row>
    <row r="461" spans="1:8">
      <c r="A461" s="45"/>
      <c r="B461" s="45"/>
      <c r="C461" s="45"/>
      <c r="D461" s="45"/>
      <c r="E461" s="45"/>
      <c r="F461" s="45"/>
      <c r="G461" s="45"/>
      <c r="H461" s="45"/>
    </row>
    <row r="462" spans="1:8">
      <c r="A462" s="44"/>
      <c r="B462" s="44"/>
      <c r="C462" s="44"/>
      <c r="D462" s="44"/>
      <c r="E462" s="44"/>
      <c r="F462" s="44"/>
      <c r="G462" s="44"/>
      <c r="H462" s="44"/>
    </row>
    <row r="463" spans="1:8">
      <c r="A463" s="45"/>
      <c r="B463" s="45"/>
      <c r="C463" s="45"/>
      <c r="D463" s="45"/>
      <c r="E463" s="45"/>
      <c r="F463" s="45"/>
      <c r="G463" s="45"/>
      <c r="H463" s="45"/>
    </row>
    <row r="464" spans="1:8">
      <c r="A464" s="44"/>
      <c r="B464" s="44"/>
      <c r="C464" s="44"/>
      <c r="D464" s="44"/>
      <c r="E464" s="44"/>
      <c r="F464" s="44"/>
      <c r="G464" s="44"/>
      <c r="H464" s="44"/>
    </row>
    <row r="465" spans="1:8">
      <c r="A465" s="45"/>
      <c r="B465" s="45"/>
      <c r="C465" s="45"/>
      <c r="D465" s="45"/>
      <c r="E465" s="45"/>
      <c r="F465" s="45"/>
      <c r="G465" s="45"/>
      <c r="H465" s="45"/>
    </row>
    <row r="466" spans="1:8">
      <c r="A466" s="44"/>
      <c r="B466" s="44"/>
      <c r="C466" s="44"/>
      <c r="D466" s="44"/>
      <c r="E466" s="44"/>
      <c r="F466" s="44"/>
      <c r="G466" s="44"/>
      <c r="H466" s="44"/>
    </row>
    <row r="467" spans="1:8">
      <c r="A467" s="45"/>
      <c r="B467" s="45"/>
      <c r="C467" s="45"/>
      <c r="D467" s="45"/>
      <c r="E467" s="45"/>
      <c r="F467" s="45"/>
      <c r="G467" s="45"/>
      <c r="H467" s="45"/>
    </row>
    <row r="468" spans="1:8">
      <c r="A468" s="44"/>
      <c r="B468" s="44"/>
      <c r="C468" s="44"/>
      <c r="D468" s="44"/>
      <c r="E468" s="44"/>
      <c r="F468" s="44"/>
      <c r="G468" s="44"/>
      <c r="H468" s="44"/>
    </row>
    <row r="469" spans="1:8">
      <c r="A469" s="45"/>
      <c r="B469" s="45"/>
      <c r="C469" s="45"/>
      <c r="D469" s="45"/>
      <c r="E469" s="45"/>
      <c r="F469" s="45"/>
      <c r="G469" s="45"/>
      <c r="H469" s="45"/>
    </row>
    <row r="470" spans="1:8">
      <c r="A470" s="44"/>
      <c r="B470" s="44"/>
      <c r="C470" s="44"/>
      <c r="D470" s="44"/>
      <c r="E470" s="44"/>
      <c r="F470" s="44"/>
      <c r="G470" s="44"/>
      <c r="H470" s="44"/>
    </row>
    <row r="471" spans="1:8">
      <c r="A471" s="45"/>
      <c r="B471" s="45"/>
      <c r="C471" s="45"/>
      <c r="D471" s="45"/>
      <c r="E471" s="45"/>
      <c r="F471" s="45"/>
      <c r="G471" s="45"/>
      <c r="H471" s="45"/>
    </row>
    <row r="472" spans="1:8">
      <c r="A472" s="44"/>
      <c r="B472" s="44"/>
      <c r="C472" s="44"/>
      <c r="D472" s="44"/>
      <c r="E472" s="44"/>
      <c r="F472" s="44"/>
      <c r="G472" s="44"/>
      <c r="H472" s="44"/>
    </row>
    <row r="473" spans="1:8">
      <c r="A473" s="45"/>
      <c r="B473" s="45"/>
      <c r="C473" s="45"/>
      <c r="D473" s="45"/>
      <c r="E473" s="45"/>
      <c r="F473" s="45"/>
      <c r="G473" s="45"/>
      <c r="H473" s="45"/>
    </row>
    <row r="474" spans="1:8">
      <c r="A474" s="44"/>
      <c r="B474" s="44"/>
      <c r="C474" s="44"/>
      <c r="D474" s="44"/>
      <c r="E474" s="44"/>
      <c r="F474" s="44"/>
      <c r="G474" s="44"/>
      <c r="H474" s="44"/>
    </row>
    <row r="475" spans="1:8">
      <c r="A475" s="45"/>
      <c r="B475" s="45"/>
      <c r="C475" s="45"/>
      <c r="D475" s="45"/>
      <c r="E475" s="45"/>
      <c r="F475" s="45"/>
      <c r="G475" s="45"/>
      <c r="H475" s="45"/>
    </row>
    <row r="476" spans="1:8">
      <c r="A476" s="44"/>
      <c r="B476" s="44"/>
      <c r="C476" s="44"/>
      <c r="D476" s="44"/>
      <c r="E476" s="44"/>
      <c r="F476" s="44"/>
      <c r="G476" s="44"/>
      <c r="H476" s="44"/>
    </row>
    <row r="477" spans="1:8">
      <c r="A477" s="45"/>
      <c r="B477" s="45"/>
      <c r="C477" s="45"/>
      <c r="D477" s="45"/>
      <c r="E477" s="45"/>
      <c r="F477" s="45"/>
      <c r="G477" s="45"/>
      <c r="H477" s="45"/>
    </row>
    <row r="478" spans="1:8">
      <c r="A478" s="44"/>
      <c r="B478" s="44"/>
      <c r="C478" s="44"/>
      <c r="D478" s="44"/>
      <c r="E478" s="44"/>
      <c r="F478" s="44"/>
      <c r="G478" s="44"/>
      <c r="H478" s="44"/>
    </row>
    <row r="479" spans="1:8">
      <c r="A479" s="45"/>
      <c r="B479" s="45"/>
      <c r="C479" s="45"/>
      <c r="D479" s="45"/>
      <c r="E479" s="45"/>
      <c r="F479" s="45"/>
      <c r="G479" s="45"/>
      <c r="H479" s="45"/>
    </row>
    <row r="480" spans="1:8">
      <c r="A480" s="44"/>
      <c r="B480" s="44"/>
      <c r="C480" s="44"/>
      <c r="D480" s="44"/>
      <c r="E480" s="44"/>
      <c r="F480" s="44"/>
      <c r="G480" s="44"/>
      <c r="H480" s="44"/>
    </row>
    <row r="481" spans="1:8">
      <c r="A481" s="45"/>
      <c r="B481" s="45"/>
      <c r="C481" s="45"/>
      <c r="D481" s="45"/>
      <c r="E481" s="45"/>
      <c r="F481" s="45"/>
      <c r="G481" s="45"/>
      <c r="H481" s="45"/>
    </row>
    <row r="482" spans="1:8">
      <c r="A482" s="44"/>
      <c r="B482" s="44"/>
      <c r="C482" s="44"/>
      <c r="D482" s="44"/>
      <c r="E482" s="44"/>
      <c r="F482" s="44"/>
      <c r="G482" s="44"/>
      <c r="H482" s="44"/>
    </row>
    <row r="483" spans="1:8">
      <c r="A483" s="45"/>
      <c r="B483" s="45"/>
      <c r="C483" s="45"/>
      <c r="D483" s="45"/>
      <c r="E483" s="45"/>
      <c r="F483" s="45"/>
      <c r="G483" s="45"/>
      <c r="H483" s="45"/>
    </row>
    <row r="484" spans="1:8">
      <c r="A484" s="44"/>
      <c r="B484" s="44"/>
      <c r="C484" s="44"/>
      <c r="D484" s="44"/>
      <c r="E484" s="44"/>
      <c r="F484" s="44"/>
      <c r="G484" s="44"/>
      <c r="H484" s="44"/>
    </row>
    <row r="485" spans="1:8">
      <c r="A485" s="45"/>
      <c r="B485" s="45"/>
      <c r="C485" s="45"/>
      <c r="D485" s="45"/>
      <c r="E485" s="45"/>
      <c r="F485" s="45"/>
      <c r="G485" s="45"/>
      <c r="H485" s="45"/>
    </row>
    <row r="486" spans="1:8">
      <c r="A486" s="44"/>
      <c r="B486" s="44"/>
      <c r="C486" s="44"/>
      <c r="D486" s="44"/>
      <c r="E486" s="44"/>
      <c r="F486" s="44"/>
      <c r="G486" s="44"/>
      <c r="H486" s="44"/>
    </row>
    <row r="487" spans="1:8">
      <c r="A487" s="45"/>
      <c r="B487" s="45"/>
      <c r="C487" s="45"/>
      <c r="D487" s="45"/>
      <c r="E487" s="45"/>
      <c r="F487" s="45"/>
      <c r="G487" s="45"/>
      <c r="H487" s="45"/>
    </row>
    <row r="488" spans="1:8">
      <c r="A488" s="44"/>
      <c r="B488" s="44"/>
      <c r="C488" s="44"/>
      <c r="D488" s="44"/>
      <c r="E488" s="44"/>
      <c r="F488" s="44"/>
      <c r="G488" s="44"/>
      <c r="H488" s="44"/>
    </row>
    <row r="489" spans="1:8">
      <c r="A489" s="45"/>
      <c r="B489" s="45"/>
      <c r="C489" s="45"/>
      <c r="D489" s="45"/>
      <c r="E489" s="45"/>
      <c r="F489" s="45"/>
      <c r="G489" s="45"/>
      <c r="H489" s="45"/>
    </row>
    <row r="490" spans="1:8">
      <c r="A490" s="44"/>
      <c r="B490" s="44"/>
      <c r="C490" s="44"/>
      <c r="D490" s="44"/>
      <c r="E490" s="44"/>
      <c r="F490" s="44"/>
      <c r="G490" s="44"/>
      <c r="H490" s="44"/>
    </row>
    <row r="491" spans="1:8">
      <c r="A491" s="45"/>
      <c r="B491" s="45"/>
      <c r="C491" s="45"/>
      <c r="D491" s="45"/>
      <c r="E491" s="45"/>
      <c r="F491" s="45"/>
      <c r="G491" s="45"/>
      <c r="H491" s="45"/>
    </row>
    <row r="492" spans="1:8">
      <c r="A492" s="44"/>
      <c r="B492" s="44"/>
      <c r="C492" s="44"/>
      <c r="D492" s="44"/>
      <c r="E492" s="44"/>
      <c r="F492" s="44"/>
      <c r="G492" s="44"/>
      <c r="H492" s="44"/>
    </row>
    <row r="493" spans="1:8">
      <c r="A493" s="45"/>
      <c r="B493" s="45"/>
      <c r="C493" s="45"/>
      <c r="D493" s="45"/>
      <c r="E493" s="45"/>
      <c r="F493" s="45"/>
      <c r="G493" s="45"/>
      <c r="H493" s="45"/>
    </row>
    <row r="494" spans="1:8">
      <c r="A494" s="44"/>
      <c r="B494" s="44"/>
      <c r="C494" s="44"/>
      <c r="D494" s="44"/>
      <c r="E494" s="44"/>
      <c r="F494" s="44"/>
      <c r="G494" s="44"/>
      <c r="H494" s="44"/>
    </row>
    <row r="495" spans="1:8">
      <c r="A495" s="45"/>
      <c r="B495" s="45"/>
      <c r="C495" s="45"/>
      <c r="D495" s="45"/>
      <c r="E495" s="45"/>
      <c r="F495" s="45"/>
      <c r="G495" s="45"/>
      <c r="H495" s="45"/>
    </row>
    <row r="496" spans="1:8">
      <c r="A496" s="44"/>
      <c r="B496" s="44"/>
      <c r="C496" s="44"/>
      <c r="D496" s="44"/>
      <c r="E496" s="44"/>
      <c r="F496" s="44"/>
      <c r="G496" s="44"/>
      <c r="H496" s="44"/>
    </row>
    <row r="497" spans="1:8">
      <c r="A497" s="45"/>
      <c r="B497" s="45"/>
      <c r="C497" s="45"/>
      <c r="D497" s="45"/>
      <c r="E497" s="45"/>
      <c r="F497" s="45"/>
      <c r="G497" s="45"/>
      <c r="H497" s="45"/>
    </row>
    <row r="498" spans="1:8">
      <c r="A498" s="44"/>
      <c r="B498" s="44"/>
      <c r="C498" s="44"/>
      <c r="D498" s="44"/>
      <c r="E498" s="44"/>
      <c r="F498" s="44"/>
      <c r="G498" s="44"/>
      <c r="H498" s="44"/>
    </row>
    <row r="499" spans="1:8">
      <c r="A499" s="45"/>
      <c r="B499" s="45"/>
      <c r="C499" s="45"/>
      <c r="D499" s="45"/>
      <c r="E499" s="45"/>
      <c r="F499" s="45"/>
      <c r="G499" s="45"/>
      <c r="H499" s="45"/>
    </row>
    <row r="500" spans="1:8">
      <c r="A500" s="44"/>
      <c r="B500" s="44"/>
      <c r="C500" s="44"/>
      <c r="D500" s="44"/>
      <c r="E500" s="44"/>
      <c r="F500" s="44"/>
      <c r="G500" s="44"/>
      <c r="H500" s="44"/>
    </row>
    <row r="501" spans="1:8">
      <c r="A501" s="45"/>
      <c r="B501" s="45"/>
      <c r="C501" s="45"/>
      <c r="D501" s="45"/>
      <c r="E501" s="45"/>
      <c r="F501" s="45"/>
      <c r="G501" s="45"/>
      <c r="H501" s="45"/>
    </row>
    <row r="502" spans="1:8">
      <c r="A502" s="44"/>
      <c r="B502" s="44"/>
      <c r="C502" s="44"/>
      <c r="D502" s="44"/>
      <c r="E502" s="44"/>
      <c r="F502" s="44"/>
      <c r="G502" s="44"/>
      <c r="H502" s="44"/>
    </row>
    <row r="503" spans="1:8">
      <c r="A503" s="45"/>
      <c r="B503" s="45"/>
      <c r="C503" s="45"/>
      <c r="D503" s="45"/>
      <c r="E503" s="45"/>
      <c r="F503" s="45"/>
      <c r="G503" s="45"/>
      <c r="H503" s="45"/>
    </row>
    <row r="504" spans="1:8">
      <c r="A504" s="44"/>
      <c r="B504" s="44"/>
      <c r="C504" s="44"/>
      <c r="D504" s="44"/>
      <c r="E504" s="44"/>
      <c r="F504" s="44"/>
      <c r="G504" s="44"/>
      <c r="H504" s="44"/>
    </row>
    <row r="505" spans="1:8">
      <c r="A505" s="45"/>
      <c r="B505" s="45"/>
      <c r="C505" s="45"/>
      <c r="D505" s="45"/>
      <c r="E505" s="45"/>
      <c r="F505" s="45"/>
      <c r="G505" s="45"/>
      <c r="H505" s="45"/>
    </row>
    <row r="506" spans="1:8">
      <c r="A506" s="44"/>
      <c r="B506" s="44"/>
      <c r="C506" s="44"/>
      <c r="D506" s="44"/>
      <c r="E506" s="44"/>
      <c r="F506" s="44"/>
      <c r="G506" s="44"/>
      <c r="H506" s="44"/>
    </row>
    <row r="507" spans="1:8">
      <c r="A507" s="45"/>
      <c r="B507" s="45"/>
      <c r="C507" s="45"/>
      <c r="D507" s="45"/>
      <c r="E507" s="45"/>
      <c r="F507" s="45"/>
      <c r="G507" s="45"/>
      <c r="H507" s="45"/>
    </row>
    <row r="508" spans="1:8">
      <c r="A508" s="44"/>
      <c r="B508" s="44"/>
      <c r="C508" s="44"/>
      <c r="D508" s="44"/>
      <c r="E508" s="44"/>
      <c r="F508" s="44"/>
      <c r="G508" s="44"/>
      <c r="H508" s="44"/>
    </row>
    <row r="509" spans="1:8">
      <c r="A509" s="45"/>
      <c r="B509" s="45"/>
      <c r="C509" s="45"/>
      <c r="D509" s="45"/>
      <c r="E509" s="45"/>
      <c r="F509" s="45"/>
      <c r="G509" s="45"/>
      <c r="H509" s="45"/>
    </row>
    <row r="510" spans="1:8">
      <c r="A510" s="44"/>
      <c r="B510" s="44"/>
      <c r="C510" s="44"/>
      <c r="D510" s="44"/>
      <c r="E510" s="44"/>
      <c r="F510" s="44"/>
      <c r="G510" s="44"/>
      <c r="H510" s="44"/>
    </row>
    <row r="511" spans="1:8">
      <c r="A511" s="45"/>
      <c r="B511" s="45"/>
      <c r="C511" s="45"/>
      <c r="D511" s="45"/>
      <c r="E511" s="45"/>
      <c r="F511" s="45"/>
      <c r="G511" s="45"/>
      <c r="H511" s="45"/>
    </row>
    <row r="512" spans="1:8">
      <c r="A512" s="44"/>
      <c r="B512" s="44"/>
      <c r="C512" s="44"/>
      <c r="D512" s="44"/>
      <c r="E512" s="44"/>
      <c r="F512" s="44"/>
      <c r="G512" s="44"/>
      <c r="H512" s="44"/>
    </row>
    <row r="513" spans="1:8">
      <c r="A513" s="45"/>
      <c r="B513" s="45"/>
      <c r="C513" s="45"/>
      <c r="D513" s="45"/>
      <c r="E513" s="45"/>
      <c r="F513" s="45"/>
      <c r="G513" s="45"/>
      <c r="H513" s="45"/>
    </row>
    <row r="514" spans="1:8">
      <c r="A514" s="44"/>
      <c r="B514" s="44"/>
      <c r="C514" s="44"/>
      <c r="D514" s="44"/>
      <c r="E514" s="44"/>
      <c r="F514" s="44"/>
      <c r="G514" s="44"/>
      <c r="H514" s="44"/>
    </row>
    <row r="515" spans="1:8">
      <c r="A515" s="45"/>
      <c r="B515" s="45"/>
      <c r="C515" s="45"/>
      <c r="D515" s="45"/>
      <c r="E515" s="45"/>
      <c r="F515" s="45"/>
      <c r="G515" s="45"/>
      <c r="H515" s="45"/>
    </row>
    <row r="516" spans="1:8">
      <c r="A516" s="44"/>
      <c r="B516" s="44"/>
      <c r="C516" s="44"/>
      <c r="D516" s="44"/>
      <c r="E516" s="44"/>
      <c r="F516" s="44"/>
      <c r="G516" s="44"/>
      <c r="H516" s="44"/>
    </row>
    <row r="517" spans="1:8">
      <c r="A517" s="45"/>
      <c r="B517" s="45"/>
      <c r="C517" s="45"/>
      <c r="D517" s="45"/>
      <c r="E517" s="45"/>
      <c r="F517" s="45"/>
      <c r="G517" s="45"/>
      <c r="H517" s="45"/>
    </row>
    <row r="518" spans="1:8">
      <c r="A518" s="44"/>
      <c r="B518" s="44"/>
      <c r="C518" s="44"/>
      <c r="D518" s="44"/>
      <c r="E518" s="44"/>
      <c r="F518" s="44"/>
      <c r="G518" s="44"/>
      <c r="H518" s="44"/>
    </row>
    <row r="519" spans="1:8">
      <c r="A519" s="45"/>
      <c r="B519" s="45"/>
      <c r="C519" s="45"/>
      <c r="D519" s="45"/>
      <c r="E519" s="45"/>
      <c r="F519" s="45"/>
      <c r="G519" s="45"/>
      <c r="H519" s="45"/>
    </row>
    <row r="520" spans="1:8">
      <c r="A520" s="44"/>
      <c r="B520" s="44"/>
      <c r="C520" s="44"/>
      <c r="D520" s="44"/>
      <c r="E520" s="44"/>
      <c r="F520" s="44"/>
      <c r="G520" s="44"/>
      <c r="H520" s="44"/>
    </row>
    <row r="521" spans="1:8">
      <c r="A521" s="45"/>
      <c r="B521" s="45"/>
      <c r="C521" s="45"/>
      <c r="D521" s="45"/>
      <c r="E521" s="45"/>
      <c r="F521" s="45"/>
      <c r="G521" s="45"/>
      <c r="H521" s="45"/>
    </row>
    <row r="522" spans="1:8">
      <c r="A522" s="44"/>
      <c r="B522" s="44"/>
      <c r="C522" s="44"/>
      <c r="D522" s="44"/>
      <c r="E522" s="44"/>
      <c r="F522" s="44"/>
      <c r="G522" s="44"/>
      <c r="H522" s="44"/>
    </row>
    <row r="523" spans="1:8">
      <c r="A523" s="45"/>
      <c r="B523" s="45"/>
      <c r="C523" s="45"/>
      <c r="D523" s="45"/>
      <c r="E523" s="45"/>
      <c r="F523" s="45"/>
      <c r="G523" s="45"/>
      <c r="H523" s="45"/>
    </row>
    <row r="524" spans="1:8">
      <c r="A524" s="44"/>
      <c r="B524" s="44"/>
      <c r="C524" s="44"/>
      <c r="D524" s="44"/>
      <c r="E524" s="44"/>
      <c r="F524" s="44"/>
      <c r="G524" s="44"/>
      <c r="H524" s="44"/>
    </row>
    <row r="525" spans="1:8">
      <c r="A525" s="45"/>
      <c r="B525" s="45"/>
      <c r="C525" s="45"/>
      <c r="D525" s="45"/>
      <c r="E525" s="45"/>
      <c r="F525" s="45"/>
      <c r="G525" s="45"/>
      <c r="H525" s="45"/>
    </row>
    <row r="526" spans="1:8">
      <c r="A526" s="44"/>
      <c r="B526" s="44"/>
      <c r="C526" s="44"/>
      <c r="D526" s="44"/>
      <c r="E526" s="44"/>
      <c r="F526" s="44"/>
      <c r="G526" s="44"/>
      <c r="H526" s="44"/>
    </row>
    <row r="527" spans="1:8">
      <c r="A527" s="45"/>
      <c r="B527" s="45"/>
      <c r="C527" s="45"/>
      <c r="D527" s="45"/>
      <c r="E527" s="45"/>
      <c r="F527" s="45"/>
      <c r="G527" s="45"/>
      <c r="H527" s="45"/>
    </row>
    <row r="528" spans="1:8">
      <c r="A528" s="44"/>
      <c r="B528" s="44"/>
      <c r="C528" s="44"/>
      <c r="D528" s="44"/>
      <c r="E528" s="44"/>
      <c r="F528" s="44"/>
      <c r="G528" s="44"/>
      <c r="H528" s="44"/>
    </row>
    <row r="529" spans="1:8">
      <c r="A529" s="45"/>
      <c r="B529" s="45"/>
      <c r="C529" s="45"/>
      <c r="D529" s="45"/>
      <c r="E529" s="45"/>
      <c r="F529" s="45"/>
      <c r="G529" s="45"/>
      <c r="H529" s="45"/>
    </row>
    <row r="530" spans="1:8">
      <c r="A530" s="44"/>
      <c r="B530" s="44"/>
      <c r="C530" s="44"/>
      <c r="D530" s="44"/>
      <c r="E530" s="44"/>
      <c r="F530" s="44"/>
      <c r="G530" s="44"/>
      <c r="H530" s="44"/>
    </row>
    <row r="531" spans="1:8">
      <c r="A531" s="45"/>
      <c r="B531" s="45"/>
      <c r="C531" s="45"/>
      <c r="D531" s="45"/>
      <c r="E531" s="45"/>
      <c r="F531" s="45"/>
      <c r="G531" s="45"/>
      <c r="H531" s="45"/>
    </row>
    <row r="532" spans="1:8">
      <c r="A532" s="44"/>
      <c r="B532" s="44"/>
      <c r="C532" s="44"/>
      <c r="D532" s="44"/>
      <c r="E532" s="44"/>
      <c r="F532" s="44"/>
      <c r="G532" s="44"/>
      <c r="H532" s="44"/>
    </row>
    <row r="533" spans="1:8">
      <c r="A533" s="45"/>
      <c r="B533" s="45"/>
      <c r="C533" s="45"/>
      <c r="D533" s="45"/>
      <c r="E533" s="45"/>
      <c r="F533" s="45"/>
      <c r="G533" s="45"/>
      <c r="H533" s="45"/>
    </row>
    <row r="534" spans="1:8">
      <c r="A534" s="44"/>
      <c r="B534" s="44"/>
      <c r="C534" s="44"/>
      <c r="D534" s="44"/>
      <c r="E534" s="44"/>
      <c r="F534" s="44"/>
      <c r="G534" s="44"/>
      <c r="H534" s="44"/>
    </row>
    <row r="535" spans="1:8">
      <c r="A535" s="45"/>
      <c r="B535" s="45"/>
      <c r="C535" s="45"/>
      <c r="D535" s="45"/>
      <c r="E535" s="45"/>
      <c r="F535" s="45"/>
      <c r="G535" s="45"/>
      <c r="H535" s="45"/>
    </row>
    <row r="536" spans="1:8">
      <c r="A536" s="44"/>
      <c r="B536" s="44"/>
      <c r="C536" s="44"/>
      <c r="D536" s="44"/>
      <c r="E536" s="44"/>
      <c r="F536" s="44"/>
      <c r="G536" s="44"/>
      <c r="H536" s="44"/>
    </row>
    <row r="537" spans="1:8">
      <c r="A537" s="45"/>
      <c r="B537" s="45"/>
      <c r="C537" s="45"/>
      <c r="D537" s="45"/>
      <c r="E537" s="45"/>
      <c r="F537" s="45"/>
      <c r="G537" s="45"/>
      <c r="H537" s="45"/>
    </row>
    <row r="538" spans="1:8">
      <c r="A538" s="44"/>
      <c r="B538" s="44"/>
      <c r="C538" s="44"/>
      <c r="D538" s="44"/>
      <c r="E538" s="44"/>
      <c r="F538" s="44"/>
      <c r="G538" s="44"/>
      <c r="H538" s="44"/>
    </row>
    <row r="539" spans="1:8">
      <c r="A539" s="45"/>
      <c r="B539" s="45"/>
      <c r="C539" s="45"/>
      <c r="D539" s="45"/>
      <c r="E539" s="45"/>
      <c r="F539" s="45"/>
      <c r="G539" s="45"/>
      <c r="H539" s="45"/>
    </row>
    <row r="540" spans="1:8">
      <c r="A540" s="44"/>
      <c r="B540" s="44"/>
      <c r="C540" s="44"/>
      <c r="D540" s="44"/>
      <c r="E540" s="44"/>
      <c r="F540" s="44"/>
      <c r="G540" s="44"/>
      <c r="H540" s="44"/>
    </row>
    <row r="541" spans="1:8">
      <c r="A541" s="45"/>
      <c r="B541" s="45"/>
      <c r="C541" s="45"/>
      <c r="D541" s="45"/>
      <c r="E541" s="45"/>
      <c r="F541" s="45"/>
      <c r="G541" s="45"/>
      <c r="H541" s="45"/>
    </row>
    <row r="542" spans="1:8">
      <c r="A542" s="44"/>
      <c r="B542" s="44"/>
      <c r="C542" s="44"/>
      <c r="D542" s="44"/>
      <c r="E542" s="44"/>
      <c r="F542" s="44"/>
      <c r="G542" s="44"/>
      <c r="H542" s="44"/>
    </row>
    <row r="543" spans="1:8">
      <c r="A543" s="45"/>
      <c r="B543" s="45"/>
      <c r="C543" s="45"/>
      <c r="D543" s="45"/>
      <c r="E543" s="45"/>
      <c r="F543" s="45"/>
      <c r="G543" s="45"/>
      <c r="H543" s="45"/>
    </row>
    <row r="544" spans="1:8">
      <c r="A544" s="44"/>
      <c r="B544" s="44"/>
      <c r="C544" s="44"/>
      <c r="D544" s="44"/>
      <c r="E544" s="44"/>
      <c r="F544" s="44"/>
      <c r="G544" s="44"/>
      <c r="H544" s="44"/>
    </row>
    <row r="545" spans="1:8">
      <c r="A545" s="45"/>
      <c r="B545" s="45"/>
      <c r="C545" s="45"/>
      <c r="D545" s="45"/>
      <c r="E545" s="45"/>
      <c r="F545" s="45"/>
      <c r="G545" s="45"/>
      <c r="H545" s="45"/>
    </row>
    <row r="546" spans="1:8">
      <c r="A546" s="44"/>
      <c r="B546" s="44"/>
      <c r="C546" s="44"/>
      <c r="D546" s="44"/>
      <c r="E546" s="44"/>
      <c r="F546" s="44"/>
      <c r="G546" s="44"/>
      <c r="H546" s="44"/>
    </row>
    <row r="547" spans="1:8">
      <c r="A547" s="45"/>
      <c r="B547" s="45"/>
      <c r="C547" s="45"/>
      <c r="D547" s="45"/>
      <c r="E547" s="45"/>
      <c r="F547" s="45"/>
      <c r="G547" s="45"/>
      <c r="H547" s="45"/>
    </row>
    <row r="548" spans="1:8">
      <c r="A548" s="44"/>
      <c r="B548" s="44"/>
      <c r="C548" s="44"/>
      <c r="D548" s="44"/>
      <c r="E548" s="44"/>
      <c r="F548" s="44"/>
      <c r="G548" s="44"/>
      <c r="H548" s="44"/>
    </row>
    <row r="549" spans="1:8">
      <c r="A549" s="45"/>
      <c r="B549" s="45"/>
      <c r="C549" s="45"/>
      <c r="D549" s="45"/>
      <c r="E549" s="45"/>
      <c r="F549" s="45"/>
      <c r="G549" s="45"/>
      <c r="H549" s="45"/>
    </row>
    <row r="550" spans="1:8">
      <c r="A550" s="44"/>
      <c r="B550" s="44"/>
      <c r="C550" s="44"/>
      <c r="D550" s="44"/>
      <c r="E550" s="44"/>
      <c r="F550" s="44"/>
      <c r="G550" s="44"/>
      <c r="H550" s="44"/>
    </row>
    <row r="551" spans="1:8">
      <c r="A551" s="45"/>
      <c r="B551" s="45"/>
      <c r="C551" s="45"/>
      <c r="D551" s="45"/>
      <c r="E551" s="45"/>
      <c r="F551" s="45"/>
      <c r="G551" s="45"/>
      <c r="H551" s="45"/>
    </row>
    <row r="552" spans="1:8">
      <c r="A552" s="44"/>
      <c r="B552" s="44"/>
      <c r="C552" s="44"/>
      <c r="D552" s="44"/>
      <c r="E552" s="44"/>
      <c r="F552" s="44"/>
      <c r="G552" s="44"/>
      <c r="H552" s="44"/>
    </row>
    <row r="553" spans="1:8">
      <c r="A553" s="45"/>
      <c r="B553" s="45"/>
      <c r="C553" s="45"/>
      <c r="D553" s="45"/>
      <c r="E553" s="45"/>
      <c r="F553" s="45"/>
      <c r="G553" s="45"/>
      <c r="H553" s="45"/>
    </row>
    <row r="554" spans="1:8">
      <c r="A554" s="44"/>
      <c r="B554" s="44"/>
      <c r="C554" s="44"/>
      <c r="D554" s="44"/>
      <c r="E554" s="44"/>
      <c r="F554" s="44"/>
      <c r="G554" s="44"/>
      <c r="H554" s="44"/>
    </row>
    <row r="555" spans="1:8">
      <c r="A555" s="45"/>
      <c r="B555" s="45"/>
      <c r="C555" s="45"/>
      <c r="D555" s="45"/>
      <c r="E555" s="45"/>
      <c r="F555" s="45"/>
      <c r="G555" s="45"/>
      <c r="H555" s="45"/>
    </row>
    <row r="556" spans="1:8">
      <c r="A556" s="44"/>
      <c r="B556" s="44"/>
      <c r="C556" s="44"/>
      <c r="D556" s="44"/>
      <c r="E556" s="44"/>
      <c r="F556" s="44"/>
      <c r="G556" s="44"/>
      <c r="H556" s="44"/>
    </row>
    <row r="557" spans="1:8">
      <c r="A557" s="45"/>
      <c r="B557" s="45"/>
      <c r="C557" s="45"/>
      <c r="D557" s="45"/>
      <c r="E557" s="45"/>
      <c r="F557" s="45"/>
      <c r="G557" s="45"/>
      <c r="H557" s="45"/>
    </row>
    <row r="558" spans="1:8">
      <c r="A558" s="44"/>
      <c r="B558" s="44"/>
      <c r="C558" s="44"/>
      <c r="D558" s="44"/>
      <c r="E558" s="44"/>
      <c r="F558" s="44"/>
      <c r="G558" s="44"/>
      <c r="H558" s="44"/>
    </row>
    <row r="559" spans="1:8">
      <c r="A559" s="45"/>
      <c r="B559" s="45"/>
      <c r="C559" s="45"/>
      <c r="D559" s="45"/>
      <c r="E559" s="45"/>
      <c r="F559" s="45"/>
      <c r="G559" s="45"/>
      <c r="H559" s="45"/>
    </row>
    <row r="560" spans="1:8">
      <c r="A560" s="44"/>
      <c r="B560" s="44"/>
      <c r="C560" s="44"/>
      <c r="D560" s="44"/>
      <c r="E560" s="44"/>
      <c r="F560" s="44"/>
      <c r="G560" s="44"/>
      <c r="H560" s="44"/>
    </row>
    <row r="561" spans="1:8">
      <c r="A561" s="45"/>
      <c r="B561" s="45"/>
      <c r="C561" s="45"/>
      <c r="D561" s="45"/>
      <c r="E561" s="45"/>
      <c r="F561" s="45"/>
      <c r="G561" s="45"/>
      <c r="H561" s="45"/>
    </row>
    <row r="562" spans="1:8">
      <c r="A562" s="44"/>
      <c r="B562" s="44"/>
      <c r="C562" s="44"/>
      <c r="D562" s="44"/>
      <c r="E562" s="44"/>
      <c r="F562" s="44"/>
      <c r="G562" s="44"/>
      <c r="H562" s="44"/>
    </row>
    <row r="563" spans="1:8">
      <c r="A563" s="45"/>
      <c r="B563" s="45"/>
      <c r="C563" s="45"/>
      <c r="D563" s="45"/>
      <c r="E563" s="45"/>
      <c r="F563" s="45"/>
      <c r="G563" s="45"/>
      <c r="H563" s="45"/>
    </row>
    <row r="564" spans="1:8">
      <c r="A564" s="44"/>
      <c r="B564" s="44"/>
      <c r="C564" s="44"/>
      <c r="D564" s="44"/>
      <c r="E564" s="44"/>
      <c r="F564" s="44"/>
      <c r="G564" s="44"/>
      <c r="H564" s="44"/>
    </row>
    <row r="565" spans="1:8">
      <c r="A565" s="45"/>
      <c r="B565" s="45"/>
      <c r="C565" s="45"/>
      <c r="D565" s="45"/>
      <c r="E565" s="45"/>
      <c r="F565" s="45"/>
      <c r="G565" s="45"/>
      <c r="H565" s="45"/>
    </row>
    <row r="566" spans="1:8">
      <c r="A566" s="44"/>
      <c r="B566" s="44"/>
      <c r="C566" s="44"/>
      <c r="D566" s="44"/>
      <c r="E566" s="44"/>
      <c r="F566" s="44"/>
      <c r="G566" s="44"/>
      <c r="H566" s="44"/>
    </row>
    <row r="567" spans="1:8">
      <c r="A567" s="45"/>
      <c r="B567" s="45"/>
      <c r="C567" s="45"/>
      <c r="D567" s="45"/>
      <c r="E567" s="45"/>
      <c r="F567" s="45"/>
      <c r="G567" s="45"/>
      <c r="H567" s="45"/>
    </row>
    <row r="568" spans="1:8">
      <c r="A568" s="44"/>
      <c r="B568" s="44"/>
      <c r="C568" s="44"/>
      <c r="D568" s="44"/>
      <c r="E568" s="44"/>
      <c r="F568" s="44"/>
      <c r="G568" s="44"/>
      <c r="H568" s="44"/>
    </row>
    <row r="569" spans="1:8">
      <c r="A569" s="45"/>
      <c r="B569" s="45"/>
      <c r="C569" s="45"/>
      <c r="D569" s="45"/>
      <c r="E569" s="45"/>
      <c r="F569" s="45"/>
      <c r="G569" s="45"/>
      <c r="H569" s="45"/>
    </row>
    <row r="570" spans="1:8">
      <c r="A570" s="44"/>
      <c r="B570" s="44"/>
      <c r="C570" s="44"/>
      <c r="D570" s="44"/>
      <c r="E570" s="44"/>
      <c r="F570" s="44"/>
      <c r="G570" s="44"/>
      <c r="H570" s="44"/>
    </row>
    <row r="571" spans="1:8">
      <c r="A571" s="45"/>
      <c r="B571" s="45"/>
      <c r="C571" s="45"/>
      <c r="D571" s="45"/>
      <c r="E571" s="45"/>
      <c r="F571" s="45"/>
      <c r="G571" s="45"/>
      <c r="H571" s="45"/>
    </row>
    <row r="572" spans="1:8">
      <c r="A572" s="44"/>
      <c r="B572" s="44"/>
      <c r="C572" s="44"/>
      <c r="D572" s="44"/>
      <c r="E572" s="44"/>
      <c r="F572" s="44"/>
      <c r="G572" s="44"/>
      <c r="H572" s="44"/>
    </row>
    <row r="573" spans="1:8">
      <c r="A573" s="45"/>
      <c r="B573" s="45"/>
      <c r="C573" s="45"/>
      <c r="D573" s="45"/>
      <c r="E573" s="45"/>
      <c r="F573" s="45"/>
      <c r="G573" s="45"/>
      <c r="H573" s="45"/>
    </row>
    <row r="574" spans="1:8">
      <c r="A574" s="44"/>
      <c r="B574" s="44"/>
      <c r="C574" s="44"/>
      <c r="D574" s="44"/>
      <c r="E574" s="44"/>
      <c r="F574" s="44"/>
      <c r="G574" s="44"/>
      <c r="H574" s="44"/>
    </row>
    <row r="575" spans="1:8">
      <c r="A575" s="45"/>
      <c r="B575" s="45"/>
      <c r="C575" s="45"/>
      <c r="D575" s="45"/>
      <c r="E575" s="45"/>
      <c r="F575" s="45"/>
      <c r="G575" s="45"/>
      <c r="H575" s="45"/>
    </row>
    <row r="576" spans="1:8">
      <c r="A576" s="44"/>
      <c r="B576" s="44"/>
      <c r="C576" s="44"/>
      <c r="D576" s="44"/>
      <c r="E576" s="44"/>
      <c r="F576" s="44"/>
      <c r="G576" s="44"/>
      <c r="H576" s="44"/>
    </row>
    <row r="577" spans="1:8">
      <c r="A577" s="45"/>
      <c r="B577" s="45"/>
      <c r="C577" s="45"/>
      <c r="D577" s="45"/>
      <c r="E577" s="45"/>
      <c r="F577" s="45"/>
      <c r="G577" s="45"/>
      <c r="H577" s="45"/>
    </row>
    <row r="578" spans="1:8">
      <c r="A578" s="44"/>
      <c r="B578" s="44"/>
      <c r="C578" s="44"/>
      <c r="D578" s="44"/>
      <c r="E578" s="44"/>
      <c r="F578" s="44"/>
      <c r="G578" s="44"/>
      <c r="H578" s="44"/>
    </row>
    <row r="579" spans="1:8">
      <c r="A579" s="45"/>
      <c r="B579" s="45"/>
      <c r="C579" s="45"/>
      <c r="D579" s="45"/>
      <c r="E579" s="45"/>
      <c r="F579" s="45"/>
      <c r="G579" s="45"/>
      <c r="H579" s="45"/>
    </row>
    <row r="580" spans="1:8">
      <c r="A580" s="44"/>
      <c r="B580" s="44"/>
      <c r="C580" s="44"/>
      <c r="D580" s="44"/>
      <c r="E580" s="44"/>
      <c r="F580" s="44"/>
      <c r="G580" s="44"/>
      <c r="H580" s="44"/>
    </row>
    <row r="581" spans="1:8">
      <c r="A581" s="45"/>
      <c r="B581" s="45"/>
      <c r="C581" s="45"/>
      <c r="D581" s="45"/>
      <c r="E581" s="45"/>
      <c r="F581" s="45"/>
      <c r="G581" s="45"/>
      <c r="H581" s="45"/>
    </row>
    <row r="582" spans="1:8">
      <c r="A582" s="44"/>
      <c r="B582" s="44"/>
      <c r="C582" s="44"/>
      <c r="D582" s="44"/>
      <c r="E582" s="44"/>
      <c r="F582" s="44"/>
      <c r="G582" s="44"/>
      <c r="H582" s="44"/>
    </row>
    <row r="583" spans="1:8">
      <c r="A583" s="45"/>
      <c r="B583" s="45"/>
      <c r="C583" s="45"/>
      <c r="D583" s="45"/>
      <c r="E583" s="45"/>
      <c r="F583" s="45"/>
      <c r="G583" s="45"/>
      <c r="H583" s="45"/>
    </row>
    <row r="584" spans="1:8">
      <c r="A584" s="44"/>
      <c r="B584" s="44"/>
      <c r="C584" s="44"/>
      <c r="D584" s="44"/>
      <c r="E584" s="44"/>
      <c r="F584" s="44"/>
      <c r="G584" s="44"/>
      <c r="H584" s="44"/>
    </row>
    <row r="585" spans="1:8">
      <c r="A585" s="45"/>
      <c r="B585" s="45"/>
      <c r="C585" s="45"/>
      <c r="D585" s="45"/>
      <c r="E585" s="45"/>
      <c r="F585" s="45"/>
      <c r="G585" s="45"/>
      <c r="H585" s="45"/>
    </row>
    <row r="586" spans="1:8">
      <c r="A586" s="44"/>
      <c r="B586" s="44"/>
      <c r="C586" s="44"/>
      <c r="D586" s="44"/>
      <c r="E586" s="44"/>
      <c r="F586" s="44"/>
      <c r="G586" s="44"/>
      <c r="H586" s="44"/>
    </row>
    <row r="587" spans="1:8">
      <c r="A587" s="45"/>
      <c r="B587" s="45"/>
      <c r="C587" s="45"/>
      <c r="D587" s="45"/>
      <c r="E587" s="45"/>
      <c r="F587" s="45"/>
      <c r="G587" s="45"/>
      <c r="H587" s="45"/>
    </row>
    <row r="588" spans="1:8">
      <c r="A588" s="44"/>
      <c r="B588" s="44"/>
      <c r="C588" s="44"/>
      <c r="D588" s="44"/>
      <c r="E588" s="44"/>
      <c r="F588" s="44"/>
      <c r="G588" s="44"/>
      <c r="H588" s="44"/>
    </row>
    <row r="589" spans="1:8">
      <c r="A589" s="45"/>
      <c r="B589" s="45"/>
      <c r="C589" s="45"/>
      <c r="D589" s="45"/>
      <c r="E589" s="45"/>
      <c r="F589" s="45"/>
      <c r="G589" s="45"/>
      <c r="H589" s="45"/>
    </row>
    <row r="590" spans="1:8">
      <c r="A590" s="44"/>
      <c r="B590" s="44"/>
      <c r="C590" s="44"/>
      <c r="D590" s="44"/>
      <c r="E590" s="44"/>
      <c r="F590" s="44"/>
      <c r="G590" s="44"/>
      <c r="H590" s="44"/>
    </row>
    <row r="591" spans="1:8">
      <c r="A591" s="45"/>
      <c r="B591" s="45"/>
      <c r="C591" s="45"/>
      <c r="D591" s="45"/>
      <c r="E591" s="45"/>
      <c r="F591" s="45"/>
      <c r="G591" s="45"/>
      <c r="H591" s="45"/>
    </row>
    <row r="592" spans="1:8">
      <c r="A592" s="44"/>
      <c r="B592" s="44"/>
      <c r="C592" s="44"/>
      <c r="D592" s="44"/>
      <c r="E592" s="44"/>
      <c r="F592" s="44"/>
      <c r="G592" s="44"/>
      <c r="H592" s="44"/>
    </row>
    <row r="593" spans="1:8">
      <c r="A593" s="45"/>
      <c r="B593" s="45"/>
      <c r="C593" s="45"/>
      <c r="D593" s="45"/>
      <c r="E593" s="45"/>
      <c r="F593" s="45"/>
      <c r="G593" s="45"/>
      <c r="H593" s="45"/>
    </row>
    <row r="594" spans="1:8">
      <c r="A594" s="44"/>
      <c r="B594" s="44"/>
      <c r="C594" s="44"/>
      <c r="D594" s="44"/>
      <c r="E594" s="44"/>
      <c r="F594" s="44"/>
      <c r="G594" s="44"/>
      <c r="H594" s="44"/>
    </row>
    <row r="595" spans="1:8">
      <c r="A595" s="45"/>
      <c r="B595" s="45"/>
      <c r="C595" s="45"/>
      <c r="D595" s="45"/>
      <c r="E595" s="45"/>
      <c r="F595" s="45"/>
      <c r="G595" s="45"/>
      <c r="H595" s="45"/>
    </row>
    <row r="596" spans="1:8">
      <c r="A596" s="44"/>
      <c r="B596" s="44"/>
      <c r="C596" s="44"/>
      <c r="D596" s="44"/>
      <c r="E596" s="44"/>
      <c r="F596" s="44"/>
      <c r="G596" s="44"/>
      <c r="H596" s="44"/>
    </row>
    <row r="597" spans="1:8">
      <c r="A597" s="45"/>
      <c r="B597" s="45"/>
      <c r="C597" s="45"/>
      <c r="D597" s="45"/>
      <c r="E597" s="45"/>
      <c r="F597" s="45"/>
      <c r="G597" s="45"/>
      <c r="H597" s="45"/>
    </row>
    <row r="598" spans="1:8">
      <c r="A598" s="44"/>
      <c r="B598" s="44"/>
      <c r="C598" s="44"/>
      <c r="D598" s="44"/>
      <c r="E598" s="44"/>
      <c r="F598" s="44"/>
      <c r="G598" s="44"/>
      <c r="H598" s="44"/>
    </row>
    <row r="599" spans="1:8">
      <c r="A599" s="45"/>
      <c r="B599" s="45"/>
      <c r="C599" s="45"/>
      <c r="D599" s="45"/>
      <c r="E599" s="45"/>
      <c r="F599" s="45"/>
      <c r="G599" s="45"/>
      <c r="H599" s="45"/>
    </row>
    <row r="600" spans="1:8">
      <c r="A600" s="44"/>
      <c r="B600" s="44"/>
      <c r="C600" s="44"/>
      <c r="D600" s="44"/>
      <c r="E600" s="44"/>
      <c r="F600" s="44"/>
      <c r="G600" s="44"/>
      <c r="H600" s="44"/>
    </row>
    <row r="601" spans="1:8">
      <c r="A601" s="45"/>
      <c r="B601" s="45"/>
      <c r="C601" s="45"/>
      <c r="D601" s="45"/>
      <c r="E601" s="45"/>
      <c r="F601" s="45"/>
      <c r="G601" s="45"/>
      <c r="H601" s="45"/>
    </row>
    <row r="602" spans="1:8">
      <c r="A602" s="44"/>
      <c r="B602" s="44"/>
      <c r="C602" s="44"/>
      <c r="D602" s="44"/>
      <c r="E602" s="44"/>
      <c r="F602" s="44"/>
      <c r="G602" s="44"/>
      <c r="H602" s="44"/>
    </row>
    <row r="603" spans="1:8">
      <c r="A603" s="45"/>
      <c r="B603" s="45"/>
      <c r="C603" s="45"/>
      <c r="D603" s="45"/>
      <c r="E603" s="45"/>
      <c r="F603" s="45"/>
      <c r="G603" s="45"/>
      <c r="H603" s="45"/>
    </row>
    <row r="604" spans="1:8">
      <c r="A604" s="44"/>
      <c r="B604" s="44"/>
      <c r="C604" s="44"/>
      <c r="D604" s="44"/>
      <c r="E604" s="44"/>
      <c r="F604" s="44"/>
      <c r="G604" s="44"/>
      <c r="H604" s="44"/>
    </row>
    <row r="605" spans="1:8">
      <c r="A605" s="45"/>
      <c r="B605" s="45"/>
      <c r="C605" s="45"/>
      <c r="D605" s="45"/>
      <c r="E605" s="45"/>
      <c r="F605" s="45"/>
      <c r="G605" s="45"/>
      <c r="H605" s="45"/>
    </row>
    <row r="606" spans="1:8">
      <c r="A606" s="44"/>
      <c r="B606" s="44"/>
      <c r="C606" s="44"/>
      <c r="D606" s="44"/>
      <c r="E606" s="44"/>
      <c r="F606" s="44"/>
      <c r="G606" s="44"/>
      <c r="H606" s="44"/>
    </row>
    <row r="607" spans="1:8">
      <c r="A607" s="45"/>
      <c r="B607" s="45"/>
      <c r="C607" s="45"/>
      <c r="D607" s="45"/>
      <c r="E607" s="45"/>
      <c r="F607" s="45"/>
      <c r="G607" s="45"/>
      <c r="H607" s="45"/>
    </row>
    <row r="608" spans="1:8">
      <c r="A608" s="44"/>
      <c r="B608" s="44"/>
      <c r="C608" s="44"/>
      <c r="D608" s="44"/>
      <c r="E608" s="44"/>
      <c r="F608" s="44"/>
      <c r="G608" s="44"/>
      <c r="H608" s="44"/>
    </row>
    <row r="609" spans="1:8">
      <c r="A609" s="45"/>
      <c r="B609" s="45"/>
      <c r="C609" s="45"/>
      <c r="D609" s="45"/>
      <c r="E609" s="45"/>
      <c r="F609" s="45"/>
      <c r="G609" s="45"/>
      <c r="H609" s="45"/>
    </row>
    <row r="610" spans="1:8">
      <c r="A610" s="44"/>
      <c r="B610" s="44"/>
      <c r="C610" s="44"/>
      <c r="D610" s="44"/>
      <c r="E610" s="44"/>
      <c r="F610" s="44"/>
      <c r="G610" s="44"/>
      <c r="H610" s="44"/>
    </row>
    <row r="611" spans="1:8">
      <c r="A611" s="45"/>
      <c r="B611" s="45"/>
      <c r="C611" s="45"/>
      <c r="D611" s="45"/>
      <c r="E611" s="45"/>
      <c r="F611" s="45"/>
      <c r="G611" s="45"/>
      <c r="H611" s="45"/>
    </row>
    <row r="612" spans="1:8">
      <c r="A612" s="44"/>
      <c r="B612" s="44"/>
      <c r="C612" s="44"/>
      <c r="D612" s="44"/>
      <c r="E612" s="44"/>
      <c r="F612" s="44"/>
      <c r="G612" s="44"/>
      <c r="H612" s="44"/>
    </row>
    <row r="613" spans="1:8">
      <c r="A613" s="45"/>
      <c r="B613" s="45"/>
      <c r="C613" s="45"/>
      <c r="D613" s="45"/>
      <c r="E613" s="45"/>
      <c r="F613" s="45"/>
      <c r="G613" s="45"/>
      <c r="H613" s="45"/>
    </row>
    <row r="614" spans="1:8">
      <c r="A614" s="44"/>
      <c r="B614" s="44"/>
      <c r="C614" s="44"/>
      <c r="D614" s="44"/>
      <c r="E614" s="44"/>
      <c r="F614" s="44"/>
      <c r="G614" s="44"/>
      <c r="H614" s="44"/>
    </row>
    <row r="615" spans="1:8">
      <c r="A615" s="45"/>
      <c r="B615" s="45"/>
      <c r="C615" s="45"/>
      <c r="D615" s="45"/>
      <c r="E615" s="45"/>
      <c r="F615" s="45"/>
      <c r="G615" s="45"/>
      <c r="H615" s="45"/>
    </row>
    <row r="616" spans="1:8">
      <c r="A616" s="44"/>
      <c r="B616" s="44"/>
      <c r="C616" s="44"/>
      <c r="D616" s="44"/>
      <c r="E616" s="44"/>
      <c r="F616" s="44"/>
      <c r="G616" s="44"/>
      <c r="H616" s="44"/>
    </row>
    <row r="617" spans="1:8">
      <c r="A617" s="45"/>
      <c r="B617" s="45"/>
      <c r="C617" s="45"/>
      <c r="D617" s="45"/>
      <c r="E617" s="45"/>
      <c r="F617" s="45"/>
      <c r="G617" s="45"/>
      <c r="H617" s="45"/>
    </row>
    <row r="618" spans="1:8">
      <c r="A618" s="44"/>
      <c r="B618" s="44"/>
      <c r="C618" s="44"/>
      <c r="D618" s="44"/>
      <c r="E618" s="44"/>
      <c r="F618" s="44"/>
      <c r="G618" s="44"/>
      <c r="H618" s="44"/>
    </row>
    <row r="619" spans="1:8">
      <c r="A619" s="45"/>
      <c r="B619" s="45"/>
      <c r="C619" s="45"/>
      <c r="D619" s="45"/>
      <c r="E619" s="45"/>
      <c r="F619" s="45"/>
      <c r="G619" s="45"/>
      <c r="H619" s="45"/>
    </row>
    <row r="620" spans="1:8">
      <c r="A620" s="44"/>
      <c r="B620" s="44"/>
      <c r="C620" s="44"/>
      <c r="D620" s="44"/>
      <c r="E620" s="44"/>
      <c r="F620" s="44"/>
      <c r="G620" s="44"/>
      <c r="H620" s="44"/>
    </row>
    <row r="621" spans="1:8">
      <c r="A621" s="45"/>
      <c r="B621" s="45"/>
      <c r="C621" s="45"/>
      <c r="D621" s="45"/>
      <c r="E621" s="45"/>
      <c r="F621" s="45"/>
      <c r="G621" s="45"/>
      <c r="H621" s="45"/>
    </row>
    <row r="622" spans="1:8">
      <c r="A622" s="44"/>
      <c r="B622" s="44"/>
      <c r="C622" s="44"/>
      <c r="D622" s="44"/>
      <c r="E622" s="44"/>
      <c r="F622" s="44"/>
      <c r="G622" s="44"/>
      <c r="H622" s="44"/>
    </row>
    <row r="623" spans="1:8">
      <c r="A623" s="45"/>
      <c r="B623" s="45"/>
      <c r="C623" s="45"/>
      <c r="D623" s="45"/>
      <c r="E623" s="45"/>
      <c r="F623" s="45"/>
      <c r="G623" s="45"/>
      <c r="H623" s="45"/>
    </row>
    <row r="624" spans="1:8">
      <c r="A624" s="44"/>
      <c r="B624" s="44"/>
      <c r="C624" s="44"/>
      <c r="D624" s="44"/>
      <c r="E624" s="44"/>
      <c r="F624" s="44"/>
      <c r="G624" s="44"/>
      <c r="H624" s="44"/>
    </row>
    <row r="625" spans="1:8">
      <c r="A625" s="45"/>
      <c r="B625" s="45"/>
      <c r="C625" s="45"/>
      <c r="D625" s="45"/>
      <c r="E625" s="45"/>
      <c r="F625" s="45"/>
      <c r="G625" s="45"/>
      <c r="H625" s="45"/>
    </row>
    <row r="626" spans="1:8">
      <c r="A626" s="44"/>
      <c r="B626" s="44"/>
      <c r="C626" s="44"/>
      <c r="D626" s="44"/>
      <c r="E626" s="44"/>
      <c r="F626" s="44"/>
      <c r="G626" s="44"/>
      <c r="H626" s="44"/>
    </row>
    <row r="627" spans="1:8">
      <c r="A627" s="45"/>
      <c r="B627" s="45"/>
      <c r="C627" s="45"/>
      <c r="D627" s="45"/>
      <c r="E627" s="45"/>
      <c r="F627" s="45"/>
      <c r="G627" s="45"/>
      <c r="H627" s="45"/>
    </row>
    <row r="628" spans="1:8">
      <c r="A628" s="44"/>
      <c r="B628" s="44"/>
      <c r="C628" s="44"/>
      <c r="D628" s="44"/>
      <c r="E628" s="44"/>
      <c r="F628" s="44"/>
      <c r="G628" s="44"/>
      <c r="H628" s="44"/>
    </row>
    <row r="629" spans="1:8">
      <c r="A629" s="45"/>
      <c r="B629" s="45"/>
      <c r="C629" s="45"/>
      <c r="D629" s="45"/>
      <c r="E629" s="45"/>
      <c r="F629" s="45"/>
      <c r="G629" s="45"/>
      <c r="H629" s="45"/>
    </row>
    <row r="630" spans="1:8">
      <c r="A630" s="44"/>
      <c r="B630" s="44"/>
      <c r="C630" s="44"/>
      <c r="D630" s="44"/>
      <c r="E630" s="44"/>
      <c r="F630" s="44"/>
      <c r="G630" s="44"/>
      <c r="H630" s="44"/>
    </row>
    <row r="631" spans="1:8">
      <c r="A631" s="45"/>
      <c r="B631" s="45"/>
      <c r="C631" s="45"/>
      <c r="D631" s="45"/>
      <c r="E631" s="45"/>
      <c r="F631" s="45"/>
      <c r="G631" s="45"/>
      <c r="H631" s="45"/>
    </row>
    <row r="632" spans="1:8">
      <c r="A632" s="44"/>
      <c r="B632" s="44"/>
      <c r="C632" s="44"/>
      <c r="D632" s="44"/>
      <c r="E632" s="44"/>
      <c r="F632" s="44"/>
      <c r="G632" s="44"/>
      <c r="H632" s="44"/>
    </row>
    <row r="633" spans="1:8">
      <c r="A633" s="45"/>
      <c r="B633" s="45"/>
      <c r="C633" s="45"/>
      <c r="D633" s="45"/>
      <c r="E633" s="45"/>
      <c r="F633" s="45"/>
      <c r="G633" s="45"/>
      <c r="H633" s="45"/>
    </row>
    <row r="634" spans="1:8">
      <c r="A634" s="44"/>
      <c r="B634" s="44"/>
      <c r="C634" s="44"/>
      <c r="D634" s="44"/>
      <c r="E634" s="44"/>
      <c r="F634" s="44"/>
      <c r="G634" s="44"/>
      <c r="H634" s="44"/>
    </row>
    <row r="635" spans="1:8">
      <c r="A635" s="45"/>
      <c r="B635" s="45"/>
      <c r="C635" s="45"/>
      <c r="D635" s="45"/>
      <c r="E635" s="45"/>
      <c r="F635" s="45"/>
      <c r="G635" s="45"/>
      <c r="H635" s="45"/>
    </row>
    <row r="636" spans="1:8">
      <c r="A636" s="44"/>
      <c r="B636" s="44"/>
      <c r="C636" s="44"/>
      <c r="D636" s="44"/>
      <c r="E636" s="44"/>
      <c r="F636" s="44"/>
      <c r="G636" s="44"/>
      <c r="H636" s="44"/>
    </row>
    <row r="637" spans="1:8">
      <c r="A637" s="45"/>
      <c r="B637" s="45"/>
      <c r="C637" s="45"/>
      <c r="D637" s="45"/>
      <c r="E637" s="45"/>
      <c r="F637" s="45"/>
      <c r="G637" s="45"/>
      <c r="H637" s="45"/>
    </row>
    <row r="638" spans="1:8">
      <c r="A638" s="44"/>
      <c r="B638" s="44"/>
      <c r="C638" s="44"/>
      <c r="D638" s="44"/>
      <c r="E638" s="44"/>
      <c r="F638" s="44"/>
      <c r="G638" s="44"/>
      <c r="H638" s="44"/>
    </row>
    <row r="639" spans="1:8">
      <c r="A639" s="45"/>
      <c r="B639" s="45"/>
      <c r="C639" s="45"/>
      <c r="D639" s="45"/>
      <c r="E639" s="45"/>
      <c r="F639" s="45"/>
      <c r="G639" s="45"/>
      <c r="H639" s="45"/>
    </row>
    <row r="640" spans="1:8">
      <c r="A640" s="44"/>
      <c r="B640" s="44"/>
      <c r="C640" s="44"/>
      <c r="D640" s="44"/>
      <c r="E640" s="44"/>
      <c r="F640" s="44"/>
      <c r="G640" s="44"/>
      <c r="H640" s="44"/>
    </row>
    <row r="641" spans="1:8">
      <c r="A641" s="45"/>
      <c r="B641" s="45"/>
      <c r="C641" s="45"/>
      <c r="D641" s="45"/>
      <c r="E641" s="45"/>
      <c r="F641" s="45"/>
      <c r="G641" s="45"/>
      <c r="H641" s="45"/>
    </row>
    <row r="642" spans="1:8">
      <c r="A642" s="44"/>
      <c r="B642" s="44"/>
      <c r="C642" s="44"/>
      <c r="D642" s="44"/>
      <c r="E642" s="44"/>
      <c r="F642" s="44"/>
      <c r="G642" s="44"/>
      <c r="H642" s="44"/>
    </row>
    <row r="643" spans="1:8">
      <c r="A643" s="45"/>
      <c r="B643" s="45"/>
      <c r="C643" s="45"/>
      <c r="D643" s="45"/>
      <c r="E643" s="45"/>
      <c r="F643" s="45"/>
      <c r="G643" s="45"/>
      <c r="H643" s="45"/>
    </row>
    <row r="644" spans="1:8">
      <c r="A644" s="44"/>
      <c r="B644" s="44"/>
      <c r="C644" s="44"/>
      <c r="D644" s="44"/>
      <c r="E644" s="44"/>
      <c r="F644" s="44"/>
      <c r="G644" s="44"/>
      <c r="H644" s="44"/>
    </row>
    <row r="645" spans="1:8">
      <c r="A645" s="45"/>
      <c r="B645" s="45"/>
      <c r="C645" s="45"/>
      <c r="D645" s="45"/>
      <c r="E645" s="45"/>
      <c r="F645" s="45"/>
      <c r="G645" s="45"/>
      <c r="H645" s="45"/>
    </row>
    <row r="646" spans="1:8">
      <c r="A646" s="44"/>
      <c r="B646" s="44"/>
      <c r="C646" s="44"/>
      <c r="D646" s="44"/>
      <c r="E646" s="44"/>
      <c r="F646" s="44"/>
      <c r="G646" s="44"/>
      <c r="H646" s="44"/>
    </row>
    <row r="647" spans="1:8">
      <c r="A647" s="45"/>
      <c r="B647" s="45"/>
      <c r="C647" s="45"/>
      <c r="D647" s="45"/>
      <c r="E647" s="45"/>
      <c r="F647" s="45"/>
      <c r="G647" s="45"/>
      <c r="H647" s="45"/>
    </row>
    <row r="648" spans="1:8">
      <c r="A648" s="44"/>
      <c r="B648" s="44"/>
      <c r="C648" s="44"/>
      <c r="D648" s="44"/>
      <c r="E648" s="44"/>
      <c r="F648" s="44"/>
      <c r="G648" s="44"/>
      <c r="H648" s="44"/>
    </row>
    <row r="649" spans="1:8">
      <c r="A649" s="45"/>
      <c r="B649" s="45"/>
      <c r="C649" s="45"/>
      <c r="D649" s="45"/>
      <c r="E649" s="45"/>
      <c r="F649" s="45"/>
      <c r="G649" s="45"/>
      <c r="H649" s="45"/>
    </row>
    <row r="650" spans="1:8">
      <c r="A650" s="44"/>
      <c r="B650" s="44"/>
      <c r="C650" s="44"/>
      <c r="D650" s="44"/>
      <c r="E650" s="44"/>
      <c r="F650" s="44"/>
      <c r="G650" s="44"/>
      <c r="H650" s="44"/>
    </row>
    <row r="651" spans="1:8">
      <c r="A651" s="45"/>
      <c r="B651" s="45"/>
      <c r="C651" s="45"/>
      <c r="D651" s="45"/>
      <c r="E651" s="45"/>
      <c r="F651" s="45"/>
      <c r="G651" s="45"/>
      <c r="H651" s="45"/>
    </row>
    <row r="652" spans="1:8">
      <c r="A652" s="44"/>
      <c r="B652" s="44"/>
      <c r="C652" s="44"/>
      <c r="D652" s="44"/>
      <c r="E652" s="44"/>
      <c r="F652" s="44"/>
      <c r="G652" s="44"/>
      <c r="H652" s="44"/>
    </row>
    <row r="653" spans="1:8">
      <c r="A653" s="45"/>
      <c r="B653" s="45"/>
      <c r="C653" s="45"/>
      <c r="D653" s="45"/>
      <c r="E653" s="45"/>
      <c r="F653" s="45"/>
      <c r="G653" s="45"/>
      <c r="H653" s="45"/>
    </row>
    <row r="654" spans="1:8">
      <c r="A654" s="44"/>
      <c r="B654" s="44"/>
      <c r="C654" s="44"/>
      <c r="D654" s="44"/>
      <c r="E654" s="44"/>
      <c r="F654" s="44"/>
      <c r="G654" s="44"/>
      <c r="H654" s="44"/>
    </row>
    <row r="655" spans="1:8">
      <c r="A655" s="45"/>
      <c r="B655" s="45"/>
      <c r="C655" s="45"/>
      <c r="D655" s="45"/>
      <c r="E655" s="45"/>
      <c r="F655" s="45"/>
      <c r="G655" s="45"/>
      <c r="H655" s="45"/>
    </row>
    <row r="656" spans="1:8">
      <c r="A656" s="44"/>
      <c r="B656" s="44"/>
      <c r="C656" s="44"/>
      <c r="D656" s="44"/>
      <c r="E656" s="44"/>
      <c r="F656" s="44"/>
      <c r="G656" s="44"/>
      <c r="H656" s="44"/>
    </row>
    <row r="657" spans="1:8">
      <c r="A657" s="45"/>
      <c r="B657" s="45"/>
      <c r="C657" s="45"/>
      <c r="D657" s="45"/>
      <c r="E657" s="45"/>
      <c r="F657" s="45"/>
      <c r="G657" s="45"/>
      <c r="H657" s="45"/>
    </row>
    <row r="658" spans="1:8">
      <c r="A658" s="44"/>
      <c r="B658" s="44"/>
      <c r="C658" s="44"/>
      <c r="D658" s="44"/>
      <c r="E658" s="44"/>
      <c r="F658" s="44"/>
      <c r="G658" s="44"/>
      <c r="H658" s="44"/>
    </row>
    <row r="659" spans="1:8">
      <c r="A659" s="45"/>
      <c r="B659" s="45"/>
      <c r="C659" s="45"/>
      <c r="D659" s="45"/>
      <c r="E659" s="45"/>
      <c r="F659" s="45"/>
      <c r="G659" s="45"/>
      <c r="H659" s="45"/>
    </row>
    <row r="660" spans="1:8">
      <c r="A660" s="44"/>
      <c r="B660" s="44"/>
      <c r="C660" s="44"/>
      <c r="D660" s="44"/>
      <c r="E660" s="44"/>
      <c r="F660" s="44"/>
      <c r="G660" s="44"/>
      <c r="H660" s="44"/>
    </row>
    <row r="661" spans="1:8">
      <c r="A661" s="45"/>
      <c r="B661" s="45"/>
      <c r="C661" s="45"/>
      <c r="D661" s="45"/>
      <c r="E661" s="45"/>
      <c r="F661" s="45"/>
      <c r="G661" s="45"/>
      <c r="H661" s="45"/>
    </row>
    <row r="662" spans="1:8">
      <c r="A662" s="44"/>
      <c r="B662" s="44"/>
      <c r="C662" s="44"/>
      <c r="D662" s="44"/>
      <c r="E662" s="44"/>
      <c r="F662" s="44"/>
      <c r="G662" s="44"/>
      <c r="H662" s="44"/>
    </row>
    <row r="663" spans="1:8">
      <c r="A663" s="45"/>
      <c r="B663" s="45"/>
      <c r="C663" s="45"/>
      <c r="D663" s="45"/>
      <c r="E663" s="45"/>
      <c r="F663" s="45"/>
      <c r="G663" s="45"/>
      <c r="H663" s="45"/>
    </row>
    <row r="664" spans="1:8">
      <c r="A664" s="44"/>
      <c r="B664" s="44"/>
      <c r="C664" s="44"/>
      <c r="D664" s="44"/>
      <c r="E664" s="44"/>
      <c r="F664" s="44"/>
      <c r="G664" s="44"/>
      <c r="H664" s="44"/>
    </row>
    <row r="665" spans="1:8">
      <c r="A665" s="45"/>
      <c r="B665" s="45"/>
      <c r="C665" s="45"/>
      <c r="D665" s="45"/>
      <c r="E665" s="45"/>
      <c r="F665" s="45"/>
      <c r="G665" s="45"/>
      <c r="H665" s="45"/>
    </row>
    <row r="666" spans="1:8">
      <c r="A666" s="44"/>
      <c r="B666" s="44"/>
      <c r="C666" s="44"/>
      <c r="D666" s="44"/>
      <c r="E666" s="44"/>
      <c r="F666" s="44"/>
      <c r="G666" s="44"/>
      <c r="H666" s="44"/>
    </row>
    <row r="667" spans="1:8">
      <c r="A667" s="45"/>
      <c r="B667" s="45"/>
      <c r="C667" s="45"/>
      <c r="D667" s="45"/>
      <c r="E667" s="45"/>
      <c r="F667" s="45"/>
      <c r="G667" s="45"/>
      <c r="H667" s="45"/>
    </row>
    <row r="668" spans="1:8">
      <c r="A668" s="44"/>
      <c r="B668" s="44"/>
      <c r="C668" s="44"/>
      <c r="D668" s="44"/>
      <c r="E668" s="44"/>
      <c r="F668" s="44"/>
      <c r="G668" s="44"/>
      <c r="H668" s="44"/>
    </row>
    <row r="669" spans="1:8">
      <c r="A669" s="45"/>
      <c r="B669" s="45"/>
      <c r="C669" s="45"/>
      <c r="D669" s="45"/>
      <c r="E669" s="45"/>
      <c r="F669" s="45"/>
      <c r="G669" s="45"/>
      <c r="H669" s="45"/>
    </row>
    <row r="670" spans="1:8">
      <c r="A670" s="44"/>
      <c r="B670" s="44"/>
      <c r="C670" s="44"/>
      <c r="D670" s="44"/>
      <c r="E670" s="44"/>
      <c r="F670" s="44"/>
      <c r="G670" s="44"/>
      <c r="H670" s="44"/>
    </row>
    <row r="671" spans="1:8">
      <c r="A671" s="45"/>
      <c r="B671" s="45"/>
      <c r="C671" s="45"/>
      <c r="D671" s="45"/>
      <c r="E671" s="45"/>
      <c r="F671" s="45"/>
      <c r="G671" s="45"/>
      <c r="H671" s="45"/>
    </row>
    <row r="672" spans="1:8">
      <c r="A672" s="44"/>
      <c r="B672" s="44"/>
      <c r="C672" s="44"/>
      <c r="D672" s="44"/>
      <c r="E672" s="44"/>
      <c r="F672" s="44"/>
      <c r="G672" s="44"/>
      <c r="H672" s="44"/>
    </row>
    <row r="673" spans="1:8">
      <c r="A673" s="45"/>
      <c r="B673" s="45"/>
      <c r="C673" s="45"/>
      <c r="D673" s="45"/>
      <c r="E673" s="45"/>
      <c r="F673" s="45"/>
      <c r="G673" s="45"/>
      <c r="H673" s="45"/>
    </row>
    <row r="674" spans="1:8">
      <c r="A674" s="44"/>
      <c r="B674" s="44"/>
      <c r="C674" s="44"/>
      <c r="D674" s="44"/>
      <c r="E674" s="44"/>
      <c r="F674" s="44"/>
      <c r="G674" s="44"/>
      <c r="H674" s="44"/>
    </row>
    <row r="675" spans="1:8">
      <c r="A675" s="45"/>
      <c r="B675" s="45"/>
      <c r="C675" s="45"/>
      <c r="D675" s="45"/>
      <c r="E675" s="45"/>
      <c r="F675" s="45"/>
      <c r="G675" s="45"/>
      <c r="H675" s="45"/>
    </row>
    <row r="676" spans="1:8">
      <c r="A676" s="44"/>
      <c r="B676" s="44"/>
      <c r="C676" s="44"/>
      <c r="D676" s="44"/>
      <c r="E676" s="44"/>
      <c r="F676" s="44"/>
      <c r="G676" s="44"/>
      <c r="H676" s="44"/>
    </row>
    <row r="677" spans="1:8">
      <c r="A677" s="45"/>
      <c r="B677" s="45"/>
      <c r="C677" s="45"/>
      <c r="D677" s="45"/>
      <c r="E677" s="45"/>
      <c r="F677" s="45"/>
      <c r="G677" s="45"/>
      <c r="H677" s="45"/>
    </row>
    <row r="678" spans="1:8">
      <c r="A678" s="44"/>
      <c r="B678" s="44"/>
      <c r="C678" s="44"/>
      <c r="D678" s="44"/>
      <c r="E678" s="44"/>
      <c r="F678" s="44"/>
      <c r="G678" s="44"/>
      <c r="H678" s="44"/>
    </row>
    <row r="679" spans="1:8">
      <c r="A679" s="45"/>
      <c r="B679" s="45"/>
      <c r="C679" s="45"/>
      <c r="D679" s="45"/>
      <c r="E679" s="45"/>
      <c r="F679" s="45"/>
      <c r="G679" s="45"/>
      <c r="H679" s="45"/>
    </row>
    <row r="680" spans="1:8">
      <c r="A680" s="44"/>
      <c r="B680" s="44"/>
      <c r="C680" s="44"/>
      <c r="D680" s="44"/>
      <c r="E680" s="44"/>
      <c r="F680" s="44"/>
      <c r="G680" s="44"/>
      <c r="H680" s="44"/>
    </row>
    <row r="681" spans="1:8">
      <c r="A681" s="45"/>
      <c r="B681" s="45"/>
      <c r="C681" s="45"/>
      <c r="D681" s="45"/>
      <c r="E681" s="45"/>
      <c r="F681" s="45"/>
      <c r="G681" s="45"/>
      <c r="H681" s="45"/>
    </row>
    <row r="682" spans="1:8">
      <c r="A682" s="44"/>
      <c r="B682" s="44"/>
      <c r="C682" s="44"/>
      <c r="D682" s="44"/>
      <c r="E682" s="44"/>
      <c r="F682" s="44"/>
      <c r="G682" s="44"/>
      <c r="H682" s="44"/>
    </row>
    <row r="683" spans="1:8">
      <c r="A683" s="45"/>
      <c r="B683" s="45"/>
      <c r="C683" s="45"/>
      <c r="D683" s="45"/>
      <c r="E683" s="45"/>
      <c r="F683" s="45"/>
      <c r="G683" s="45"/>
      <c r="H683" s="45"/>
    </row>
    <row r="684" spans="1:8">
      <c r="A684" s="44"/>
      <c r="B684" s="44"/>
      <c r="C684" s="44"/>
      <c r="D684" s="44"/>
      <c r="E684" s="44"/>
      <c r="F684" s="44"/>
      <c r="G684" s="44"/>
      <c r="H684" s="44"/>
    </row>
    <row r="685" spans="1:8">
      <c r="A685" s="45"/>
      <c r="B685" s="45"/>
      <c r="C685" s="45"/>
      <c r="D685" s="45"/>
      <c r="E685" s="45"/>
      <c r="F685" s="45"/>
      <c r="G685" s="45"/>
      <c r="H685" s="45"/>
    </row>
    <row r="686" spans="1:8">
      <c r="A686" s="44"/>
      <c r="B686" s="44"/>
      <c r="C686" s="44"/>
      <c r="D686" s="44"/>
      <c r="E686" s="44"/>
      <c r="F686" s="44"/>
      <c r="G686" s="44"/>
      <c r="H686" s="44"/>
    </row>
    <row r="687" spans="1:8">
      <c r="A687" s="45"/>
      <c r="B687" s="45"/>
      <c r="C687" s="45"/>
      <c r="D687" s="45"/>
      <c r="E687" s="45"/>
      <c r="F687" s="45"/>
      <c r="G687" s="45"/>
      <c r="H687" s="45"/>
    </row>
    <row r="688" spans="1:8">
      <c r="A688" s="44"/>
      <c r="B688" s="44"/>
      <c r="C688" s="44"/>
      <c r="D688" s="44"/>
      <c r="E688" s="44"/>
      <c r="F688" s="44"/>
      <c r="G688" s="44"/>
      <c r="H688" s="44"/>
    </row>
    <row r="689" spans="1:8">
      <c r="A689" s="45"/>
      <c r="B689" s="45"/>
      <c r="C689" s="45"/>
      <c r="D689" s="45"/>
      <c r="E689" s="45"/>
      <c r="F689" s="45"/>
      <c r="G689" s="45"/>
      <c r="H689" s="45"/>
    </row>
    <row r="690" spans="1:8">
      <c r="A690" s="44"/>
      <c r="B690" s="44"/>
      <c r="C690" s="44"/>
      <c r="D690" s="44"/>
      <c r="E690" s="44"/>
      <c r="F690" s="44"/>
      <c r="G690" s="44"/>
      <c r="H690" s="44"/>
    </row>
    <row r="691" spans="1:8">
      <c r="A691" s="45"/>
      <c r="B691" s="45"/>
      <c r="C691" s="45"/>
      <c r="D691" s="45"/>
      <c r="E691" s="45"/>
      <c r="F691" s="45"/>
      <c r="G691" s="45"/>
      <c r="H691" s="45"/>
    </row>
    <row r="692" spans="1:8">
      <c r="A692" s="44"/>
      <c r="B692" s="44"/>
      <c r="C692" s="44"/>
      <c r="D692" s="44"/>
      <c r="E692" s="44"/>
      <c r="F692" s="44"/>
      <c r="G692" s="44"/>
      <c r="H692" s="44"/>
    </row>
    <row r="693" spans="1:8">
      <c r="A693" s="45"/>
      <c r="B693" s="45"/>
      <c r="C693" s="45"/>
      <c r="D693" s="45"/>
      <c r="E693" s="45"/>
      <c r="F693" s="45"/>
      <c r="G693" s="45"/>
      <c r="H693" s="45"/>
    </row>
    <row r="694" spans="1:8">
      <c r="A694" s="44"/>
      <c r="B694" s="44"/>
      <c r="C694" s="44"/>
      <c r="D694" s="44"/>
      <c r="E694" s="44"/>
      <c r="F694" s="44"/>
      <c r="G694" s="44"/>
      <c r="H694" s="44"/>
    </row>
    <row r="695" spans="1:8">
      <c r="A695" s="45"/>
      <c r="B695" s="45"/>
      <c r="C695" s="45"/>
      <c r="D695" s="45"/>
      <c r="E695" s="45"/>
      <c r="F695" s="45"/>
      <c r="G695" s="45"/>
      <c r="H695" s="45"/>
    </row>
    <row r="696" spans="1:8">
      <c r="A696" s="44"/>
      <c r="B696" s="44"/>
      <c r="C696" s="44"/>
      <c r="D696" s="44"/>
      <c r="E696" s="44"/>
      <c r="F696" s="44"/>
      <c r="G696" s="44"/>
      <c r="H696" s="44"/>
    </row>
    <row r="697" spans="1:8">
      <c r="A697" s="45"/>
      <c r="B697" s="45"/>
      <c r="C697" s="45"/>
      <c r="D697" s="45"/>
      <c r="E697" s="45"/>
      <c r="F697" s="45"/>
      <c r="G697" s="45"/>
      <c r="H697" s="45"/>
    </row>
    <row r="698" spans="1:8">
      <c r="A698" s="44"/>
      <c r="B698" s="44"/>
      <c r="C698" s="44"/>
      <c r="D698" s="44"/>
      <c r="E698" s="44"/>
      <c r="F698" s="44"/>
      <c r="G698" s="44"/>
      <c r="H698" s="44"/>
    </row>
    <row r="699" spans="1:8">
      <c r="A699" s="45"/>
      <c r="B699" s="45"/>
      <c r="C699" s="45"/>
      <c r="D699" s="45"/>
      <c r="E699" s="45"/>
      <c r="F699" s="45"/>
      <c r="G699" s="45"/>
      <c r="H699" s="45"/>
    </row>
    <row r="700" spans="1:8">
      <c r="A700" s="44"/>
      <c r="B700" s="44"/>
      <c r="C700" s="44"/>
      <c r="D700" s="44"/>
      <c r="E700" s="44"/>
      <c r="F700" s="44"/>
      <c r="G700" s="44"/>
      <c r="H700" s="44"/>
    </row>
    <row r="701" spans="1:8">
      <c r="A701" s="45"/>
      <c r="B701" s="45"/>
      <c r="C701" s="45"/>
      <c r="D701" s="45"/>
      <c r="E701" s="45"/>
      <c r="F701" s="45"/>
      <c r="G701" s="45"/>
      <c r="H701" s="45"/>
    </row>
    <row r="702" spans="1:8">
      <c r="A702" s="44"/>
      <c r="B702" s="44"/>
      <c r="C702" s="44"/>
      <c r="D702" s="44"/>
      <c r="E702" s="44"/>
      <c r="F702" s="44"/>
      <c r="G702" s="44"/>
      <c r="H702" s="44"/>
    </row>
    <row r="703" spans="1:8">
      <c r="A703" s="45"/>
      <c r="B703" s="45"/>
      <c r="C703" s="45"/>
      <c r="D703" s="45"/>
      <c r="E703" s="45"/>
      <c r="F703" s="45"/>
      <c r="G703" s="45"/>
      <c r="H703" s="45"/>
    </row>
    <row r="704" spans="1:8">
      <c r="A704" s="44"/>
      <c r="B704" s="44"/>
      <c r="C704" s="44"/>
      <c r="D704" s="44"/>
      <c r="E704" s="44"/>
      <c r="F704" s="44"/>
      <c r="G704" s="44"/>
      <c r="H704" s="44"/>
    </row>
    <row r="705" spans="1:8">
      <c r="A705" s="45"/>
      <c r="B705" s="45"/>
      <c r="C705" s="45"/>
      <c r="D705" s="45"/>
      <c r="E705" s="45"/>
      <c r="F705" s="45"/>
      <c r="G705" s="45"/>
      <c r="H705" s="45"/>
    </row>
    <row r="706" spans="1:8">
      <c r="A706" s="44"/>
      <c r="B706" s="44"/>
      <c r="C706" s="44"/>
      <c r="D706" s="44"/>
      <c r="E706" s="44"/>
      <c r="F706" s="44"/>
      <c r="G706" s="44"/>
      <c r="H706" s="44"/>
    </row>
    <row r="707" spans="1:8">
      <c r="A707" s="45"/>
      <c r="B707" s="45"/>
      <c r="C707" s="45"/>
      <c r="D707" s="45"/>
      <c r="E707" s="45"/>
      <c r="F707" s="45"/>
      <c r="G707" s="45"/>
      <c r="H707" s="45"/>
    </row>
    <row r="708" spans="1:8">
      <c r="A708" s="44"/>
      <c r="B708" s="44"/>
      <c r="C708" s="44"/>
      <c r="D708" s="44"/>
      <c r="E708" s="44"/>
      <c r="F708" s="44"/>
      <c r="G708" s="44"/>
      <c r="H708" s="44"/>
    </row>
    <row r="709" spans="1:8">
      <c r="A709" s="45"/>
      <c r="B709" s="45"/>
      <c r="C709" s="45"/>
      <c r="D709" s="45"/>
      <c r="E709" s="45"/>
      <c r="F709" s="45"/>
      <c r="G709" s="45"/>
      <c r="H709" s="45"/>
    </row>
    <row r="710" spans="1:8">
      <c r="A710" s="44"/>
      <c r="B710" s="44"/>
      <c r="C710" s="44"/>
      <c r="D710" s="44"/>
      <c r="E710" s="44"/>
      <c r="F710" s="44"/>
      <c r="G710" s="44"/>
      <c r="H710" s="44"/>
    </row>
    <row r="711" spans="1:8">
      <c r="A711" s="45"/>
      <c r="B711" s="45"/>
      <c r="C711" s="45"/>
      <c r="D711" s="45"/>
      <c r="E711" s="45"/>
      <c r="F711" s="45"/>
      <c r="G711" s="45"/>
      <c r="H711" s="45"/>
    </row>
    <row r="712" spans="1:8">
      <c r="A712" s="44"/>
      <c r="B712" s="44"/>
      <c r="C712" s="44"/>
      <c r="D712" s="44"/>
      <c r="E712" s="44"/>
      <c r="F712" s="44"/>
      <c r="G712" s="44"/>
      <c r="H712" s="44"/>
    </row>
    <row r="713" spans="1:8">
      <c r="A713" s="45"/>
      <c r="B713" s="45"/>
      <c r="C713" s="45"/>
      <c r="D713" s="45"/>
      <c r="E713" s="45"/>
      <c r="F713" s="45"/>
      <c r="G713" s="45"/>
      <c r="H713" s="45"/>
    </row>
    <row r="714" spans="1:8">
      <c r="A714" s="44"/>
      <c r="B714" s="44"/>
      <c r="C714" s="44"/>
      <c r="D714" s="44"/>
      <c r="E714" s="44"/>
      <c r="F714" s="44"/>
      <c r="G714" s="44"/>
      <c r="H714" s="44"/>
    </row>
    <row r="715" spans="1:8">
      <c r="A715" s="45"/>
      <c r="B715" s="45"/>
      <c r="C715" s="45"/>
      <c r="D715" s="45"/>
      <c r="E715" s="45"/>
      <c r="F715" s="45"/>
      <c r="G715" s="45"/>
      <c r="H715" s="45"/>
    </row>
    <row r="716" spans="1:8">
      <c r="A716" s="44"/>
      <c r="B716" s="44"/>
      <c r="C716" s="44"/>
      <c r="D716" s="44"/>
      <c r="E716" s="44"/>
      <c r="F716" s="44"/>
      <c r="G716" s="44"/>
      <c r="H716" s="44"/>
    </row>
    <row r="717" spans="1:8">
      <c r="A717" s="45"/>
      <c r="B717" s="45"/>
      <c r="C717" s="45"/>
      <c r="D717" s="45"/>
      <c r="E717" s="45"/>
      <c r="F717" s="45"/>
      <c r="G717" s="45"/>
      <c r="H717" s="45"/>
    </row>
    <row r="718" spans="1:8">
      <c r="A718" s="44"/>
      <c r="B718" s="44"/>
      <c r="C718" s="44"/>
      <c r="D718" s="44"/>
      <c r="E718" s="44"/>
      <c r="F718" s="44"/>
      <c r="G718" s="44"/>
      <c r="H718" s="44"/>
    </row>
    <row r="719" spans="1:8">
      <c r="A719" s="45"/>
      <c r="B719" s="45"/>
      <c r="C719" s="45"/>
      <c r="D719" s="45"/>
      <c r="E719" s="45"/>
      <c r="F719" s="45"/>
      <c r="G719" s="45"/>
      <c r="H719" s="45"/>
    </row>
    <row r="720" spans="1:8">
      <c r="A720" s="44"/>
      <c r="B720" s="44"/>
      <c r="C720" s="44"/>
      <c r="D720" s="44"/>
      <c r="E720" s="44"/>
      <c r="F720" s="44"/>
      <c r="G720" s="44"/>
      <c r="H720" s="44"/>
    </row>
    <row r="721" spans="1:8">
      <c r="A721" s="45"/>
      <c r="B721" s="45"/>
      <c r="C721" s="45"/>
      <c r="D721" s="45"/>
      <c r="E721" s="45"/>
      <c r="F721" s="45"/>
      <c r="G721" s="45"/>
      <c r="H721" s="45"/>
    </row>
    <row r="722" spans="1:8">
      <c r="A722" s="44"/>
      <c r="B722" s="44"/>
      <c r="C722" s="44"/>
      <c r="D722" s="44"/>
      <c r="E722" s="44"/>
      <c r="F722" s="44"/>
      <c r="G722" s="44"/>
      <c r="H722" s="44"/>
    </row>
    <row r="723" spans="1:8">
      <c r="A723" s="45"/>
      <c r="B723" s="45"/>
      <c r="C723" s="45"/>
      <c r="D723" s="45"/>
      <c r="E723" s="45"/>
      <c r="F723" s="45"/>
      <c r="G723" s="45"/>
      <c r="H723" s="45"/>
    </row>
    <row r="724" spans="1:8">
      <c r="A724" s="44"/>
      <c r="B724" s="44"/>
      <c r="C724" s="44"/>
      <c r="D724" s="44"/>
      <c r="E724" s="44"/>
      <c r="F724" s="44"/>
      <c r="G724" s="44"/>
      <c r="H724" s="44"/>
    </row>
    <row r="725" spans="1:8">
      <c r="A725" s="45"/>
      <c r="B725" s="45"/>
      <c r="C725" s="45"/>
      <c r="D725" s="45"/>
      <c r="E725" s="45"/>
      <c r="F725" s="45"/>
      <c r="G725" s="45"/>
      <c r="H725" s="45"/>
    </row>
    <row r="726" spans="1:8">
      <c r="A726" s="44"/>
      <c r="B726" s="44"/>
      <c r="C726" s="44"/>
      <c r="D726" s="44"/>
      <c r="E726" s="44"/>
      <c r="F726" s="44"/>
      <c r="G726" s="44"/>
      <c r="H726" s="44"/>
    </row>
    <row r="727" spans="1:8">
      <c r="A727" s="45"/>
      <c r="B727" s="45"/>
      <c r="C727" s="45"/>
      <c r="D727" s="45"/>
      <c r="E727" s="45"/>
      <c r="F727" s="45"/>
      <c r="G727" s="45"/>
      <c r="H727" s="45"/>
    </row>
    <row r="728" spans="1:8">
      <c r="A728" s="44"/>
      <c r="B728" s="44"/>
      <c r="C728" s="44"/>
      <c r="D728" s="44"/>
      <c r="E728" s="44"/>
      <c r="F728" s="44"/>
      <c r="G728" s="44"/>
      <c r="H728" s="44"/>
    </row>
    <row r="729" spans="1:8">
      <c r="A729" s="45"/>
      <c r="B729" s="45"/>
      <c r="C729" s="45"/>
      <c r="D729" s="45"/>
      <c r="E729" s="45"/>
      <c r="F729" s="45"/>
      <c r="G729" s="45"/>
      <c r="H729" s="45"/>
    </row>
    <row r="730" spans="1:8">
      <c r="A730" s="44"/>
      <c r="B730" s="44"/>
      <c r="C730" s="44"/>
      <c r="D730" s="44"/>
      <c r="E730" s="44"/>
      <c r="F730" s="44"/>
      <c r="G730" s="44"/>
      <c r="H730" s="44"/>
    </row>
    <row r="731" spans="1:8">
      <c r="A731" s="45"/>
      <c r="B731" s="45"/>
      <c r="C731" s="45"/>
      <c r="D731" s="45"/>
      <c r="E731" s="45"/>
      <c r="F731" s="45"/>
      <c r="G731" s="45"/>
      <c r="H731" s="45"/>
    </row>
    <row r="732" spans="1:8">
      <c r="A732" s="44"/>
      <c r="B732" s="44"/>
      <c r="C732" s="44"/>
      <c r="D732" s="44"/>
      <c r="E732" s="44"/>
      <c r="F732" s="44"/>
      <c r="G732" s="44"/>
      <c r="H732" s="44"/>
    </row>
    <row r="733" spans="1:8">
      <c r="A733" s="45"/>
      <c r="B733" s="45"/>
      <c r="C733" s="45"/>
      <c r="D733" s="45"/>
      <c r="E733" s="45"/>
      <c r="F733" s="45"/>
      <c r="G733" s="45"/>
      <c r="H733" s="45"/>
    </row>
    <row r="734" spans="1:8">
      <c r="A734" s="44"/>
      <c r="B734" s="44"/>
      <c r="C734" s="44"/>
      <c r="D734" s="44"/>
      <c r="E734" s="44"/>
      <c r="F734" s="44"/>
      <c r="G734" s="44"/>
      <c r="H734" s="44"/>
    </row>
    <row r="735" spans="1:8">
      <c r="A735" s="45"/>
      <c r="B735" s="45"/>
      <c r="C735" s="45"/>
      <c r="D735" s="45"/>
      <c r="E735" s="45"/>
      <c r="F735" s="45"/>
      <c r="G735" s="45"/>
      <c r="H735" s="45"/>
    </row>
    <row r="736" spans="1:8">
      <c r="A736" s="44"/>
      <c r="B736" s="44"/>
      <c r="C736" s="44"/>
      <c r="D736" s="44"/>
      <c r="E736" s="44"/>
      <c r="F736" s="44"/>
      <c r="G736" s="44"/>
      <c r="H736" s="44"/>
    </row>
    <row r="737" spans="1:8">
      <c r="A737" s="45"/>
      <c r="B737" s="45"/>
      <c r="C737" s="45"/>
      <c r="D737" s="45"/>
      <c r="E737" s="45"/>
      <c r="F737" s="45"/>
      <c r="G737" s="45"/>
      <c r="H737" s="45"/>
    </row>
    <row r="738" spans="1:8">
      <c r="A738" s="44"/>
      <c r="B738" s="44"/>
      <c r="C738" s="44"/>
      <c r="D738" s="44"/>
      <c r="E738" s="44"/>
      <c r="F738" s="44"/>
      <c r="G738" s="44"/>
      <c r="H738" s="44"/>
    </row>
    <row r="739" spans="1:8">
      <c r="A739" s="45"/>
      <c r="B739" s="45"/>
      <c r="C739" s="45"/>
      <c r="D739" s="45"/>
      <c r="E739" s="45"/>
      <c r="F739" s="45"/>
      <c r="G739" s="45"/>
      <c r="H739" s="45"/>
    </row>
    <row r="740" spans="1:8">
      <c r="A740" s="44"/>
      <c r="B740" s="44"/>
      <c r="C740" s="44"/>
      <c r="D740" s="44"/>
      <c r="E740" s="44"/>
      <c r="F740" s="44"/>
      <c r="G740" s="44"/>
      <c r="H740" s="44"/>
    </row>
    <row r="741" spans="1:8">
      <c r="A741" s="45"/>
      <c r="B741" s="45"/>
      <c r="C741" s="45"/>
      <c r="D741" s="45"/>
      <c r="E741" s="45"/>
      <c r="F741" s="45"/>
      <c r="G741" s="45"/>
      <c r="H741" s="45"/>
    </row>
    <row r="742" spans="1:8">
      <c r="A742" s="44"/>
      <c r="B742" s="44"/>
      <c r="C742" s="44"/>
      <c r="D742" s="44"/>
      <c r="E742" s="44"/>
      <c r="F742" s="44"/>
      <c r="G742" s="44"/>
      <c r="H742" s="44"/>
    </row>
    <row r="743" spans="1:8">
      <c r="A743" s="45"/>
      <c r="B743" s="45"/>
      <c r="C743" s="45"/>
      <c r="D743" s="45"/>
      <c r="E743" s="45"/>
      <c r="F743" s="45"/>
      <c r="G743" s="45"/>
      <c r="H743" s="45"/>
    </row>
    <row r="744" spans="1:8">
      <c r="A744" s="44"/>
      <c r="B744" s="44"/>
      <c r="C744" s="44"/>
      <c r="D744" s="44"/>
      <c r="E744" s="44"/>
      <c r="F744" s="44"/>
      <c r="G744" s="44"/>
      <c r="H744" s="44"/>
    </row>
    <row r="745" spans="1:8">
      <c r="A745" s="45"/>
      <c r="B745" s="45"/>
      <c r="C745" s="45"/>
      <c r="D745" s="45"/>
      <c r="E745" s="45"/>
      <c r="F745" s="45"/>
      <c r="G745" s="45"/>
      <c r="H745" s="45"/>
    </row>
    <row r="746" spans="1:8">
      <c r="A746" s="44"/>
      <c r="B746" s="44"/>
      <c r="C746" s="44"/>
      <c r="D746" s="44"/>
      <c r="E746" s="44"/>
      <c r="F746" s="44"/>
      <c r="G746" s="44"/>
      <c r="H746" s="44"/>
    </row>
    <row r="747" spans="1:8">
      <c r="A747" s="45"/>
      <c r="B747" s="45"/>
      <c r="C747" s="45"/>
      <c r="D747" s="45"/>
      <c r="E747" s="45"/>
      <c r="F747" s="45"/>
      <c r="G747" s="45"/>
      <c r="H747" s="45"/>
    </row>
    <row r="748" spans="1:8">
      <c r="A748" s="44"/>
      <c r="B748" s="44"/>
      <c r="C748" s="44"/>
      <c r="D748" s="44"/>
      <c r="E748" s="44"/>
      <c r="F748" s="44"/>
      <c r="G748" s="44"/>
      <c r="H748" s="44"/>
    </row>
    <row r="749" spans="1:8">
      <c r="A749" s="45"/>
      <c r="B749" s="45"/>
      <c r="C749" s="45"/>
      <c r="D749" s="45"/>
      <c r="E749" s="45"/>
      <c r="F749" s="45"/>
      <c r="G749" s="45"/>
      <c r="H749" s="45"/>
    </row>
    <row r="750" spans="1:8">
      <c r="A750" s="44"/>
      <c r="B750" s="44"/>
      <c r="C750" s="44"/>
      <c r="D750" s="44"/>
      <c r="E750" s="44"/>
      <c r="F750" s="44"/>
      <c r="G750" s="44"/>
      <c r="H750" s="44"/>
    </row>
    <row r="751" spans="1:8">
      <c r="A751" s="45"/>
      <c r="B751" s="45"/>
      <c r="C751" s="45"/>
      <c r="D751" s="45"/>
      <c r="E751" s="45"/>
      <c r="F751" s="45"/>
      <c r="G751" s="45"/>
      <c r="H751" s="45"/>
    </row>
    <row r="752" spans="1:8">
      <c r="A752" s="44"/>
      <c r="B752" s="44"/>
      <c r="C752" s="44"/>
      <c r="D752" s="44"/>
      <c r="E752" s="44"/>
      <c r="F752" s="44"/>
      <c r="G752" s="44"/>
      <c r="H752" s="44"/>
    </row>
    <row r="753" spans="1:8">
      <c r="A753" s="45"/>
      <c r="B753" s="45"/>
      <c r="C753" s="45"/>
      <c r="D753" s="45"/>
      <c r="E753" s="45"/>
      <c r="F753" s="45"/>
      <c r="G753" s="45"/>
      <c r="H753" s="45"/>
    </row>
    <row r="754" spans="1:8">
      <c r="A754" s="44"/>
      <c r="B754" s="44"/>
      <c r="C754" s="44"/>
      <c r="D754" s="44"/>
      <c r="E754" s="44"/>
      <c r="F754" s="44"/>
      <c r="G754" s="44"/>
      <c r="H754" s="44"/>
    </row>
    <row r="755" spans="1:8">
      <c r="A755" s="45"/>
      <c r="B755" s="45"/>
      <c r="C755" s="45"/>
      <c r="D755" s="45"/>
      <c r="E755" s="45"/>
      <c r="F755" s="45"/>
      <c r="G755" s="45"/>
      <c r="H755" s="45"/>
    </row>
    <row r="756" spans="1:8">
      <c r="A756" s="44"/>
      <c r="B756" s="44"/>
      <c r="C756" s="44"/>
      <c r="D756" s="44"/>
      <c r="E756" s="44"/>
      <c r="F756" s="44"/>
      <c r="G756" s="44"/>
      <c r="H756" s="44"/>
    </row>
    <row r="757" spans="1:8">
      <c r="A757" s="45"/>
      <c r="B757" s="45"/>
      <c r="C757" s="45"/>
      <c r="D757" s="45"/>
      <c r="E757" s="45"/>
      <c r="F757" s="45"/>
      <c r="G757" s="45"/>
      <c r="H757" s="45"/>
    </row>
    <row r="758" spans="1:8">
      <c r="A758" s="44"/>
      <c r="B758" s="44"/>
      <c r="C758" s="44"/>
      <c r="D758" s="44"/>
      <c r="E758" s="44"/>
      <c r="F758" s="44"/>
      <c r="G758" s="44"/>
      <c r="H758" s="44"/>
    </row>
    <row r="759" spans="1:8">
      <c r="A759" s="45"/>
      <c r="B759" s="45"/>
      <c r="C759" s="45"/>
      <c r="D759" s="45"/>
      <c r="E759" s="45"/>
      <c r="F759" s="45"/>
      <c r="G759" s="45"/>
      <c r="H759" s="45"/>
    </row>
    <row r="760" spans="1:8">
      <c r="A760" s="44"/>
      <c r="B760" s="44"/>
      <c r="C760" s="44"/>
      <c r="D760" s="44"/>
      <c r="E760" s="44"/>
      <c r="F760" s="44"/>
      <c r="G760" s="44"/>
      <c r="H760" s="44"/>
    </row>
    <row r="761" spans="1:8">
      <c r="A761" s="45"/>
      <c r="B761" s="45"/>
      <c r="C761" s="45"/>
      <c r="D761" s="45"/>
      <c r="E761" s="45"/>
      <c r="F761" s="45"/>
      <c r="G761" s="45"/>
      <c r="H761" s="45"/>
    </row>
    <row r="762" spans="1:8">
      <c r="A762" s="44"/>
      <c r="B762" s="44"/>
      <c r="C762" s="44"/>
      <c r="D762" s="44"/>
      <c r="E762" s="44"/>
      <c r="F762" s="44"/>
      <c r="G762" s="44"/>
      <c r="H762" s="44"/>
    </row>
    <row r="763" spans="1:8">
      <c r="A763" s="45"/>
      <c r="B763" s="45"/>
      <c r="C763" s="45"/>
      <c r="D763" s="45"/>
      <c r="E763" s="45"/>
      <c r="F763" s="45"/>
      <c r="G763" s="45"/>
      <c r="H763" s="45"/>
    </row>
    <row r="764" spans="1:8">
      <c r="A764" s="44"/>
      <c r="B764" s="44"/>
      <c r="C764" s="44"/>
      <c r="D764" s="44"/>
      <c r="E764" s="44"/>
      <c r="F764" s="44"/>
      <c r="G764" s="44"/>
      <c r="H764" s="44"/>
    </row>
    <row r="765" spans="1:8">
      <c r="A765" s="45"/>
      <c r="B765" s="45"/>
      <c r="C765" s="45"/>
      <c r="D765" s="45"/>
      <c r="E765" s="45"/>
      <c r="F765" s="45"/>
      <c r="G765" s="45"/>
      <c r="H765" s="45"/>
    </row>
    <row r="766" spans="1:8">
      <c r="A766" s="44"/>
      <c r="B766" s="44"/>
      <c r="C766" s="44"/>
      <c r="D766" s="44"/>
      <c r="E766" s="44"/>
      <c r="F766" s="44"/>
      <c r="G766" s="44"/>
      <c r="H766" s="44"/>
    </row>
    <row r="767" spans="1:8">
      <c r="A767" s="45"/>
      <c r="B767" s="45"/>
      <c r="C767" s="45"/>
      <c r="D767" s="45"/>
      <c r="E767" s="45"/>
      <c r="F767" s="45"/>
      <c r="G767" s="45"/>
      <c r="H767" s="45"/>
    </row>
    <row r="768" spans="1:8">
      <c r="A768" s="44"/>
      <c r="B768" s="44"/>
      <c r="C768" s="44"/>
      <c r="D768" s="44"/>
      <c r="E768" s="44"/>
      <c r="F768" s="44"/>
      <c r="G768" s="44"/>
      <c r="H768" s="44"/>
    </row>
    <row r="769" spans="1:8">
      <c r="A769" s="45"/>
      <c r="B769" s="45"/>
      <c r="C769" s="45"/>
      <c r="D769" s="45"/>
      <c r="E769" s="45"/>
      <c r="F769" s="45"/>
      <c r="G769" s="45"/>
      <c r="H769" s="45"/>
    </row>
    <row r="770" spans="1:8">
      <c r="A770" s="44"/>
      <c r="B770" s="44"/>
      <c r="C770" s="44"/>
      <c r="D770" s="44"/>
      <c r="E770" s="44"/>
      <c r="F770" s="44"/>
      <c r="G770" s="44"/>
      <c r="H770" s="44"/>
    </row>
    <row r="771" spans="1:8">
      <c r="A771" s="45"/>
      <c r="B771" s="45"/>
      <c r="C771" s="45"/>
      <c r="D771" s="45"/>
      <c r="E771" s="45"/>
      <c r="F771" s="45"/>
      <c r="G771" s="45"/>
      <c r="H771" s="45"/>
    </row>
    <row r="772" spans="1:8">
      <c r="A772" s="44"/>
      <c r="B772" s="44"/>
      <c r="C772" s="44"/>
      <c r="D772" s="44"/>
      <c r="E772" s="44"/>
      <c r="F772" s="44"/>
      <c r="G772" s="44"/>
      <c r="H772" s="44"/>
    </row>
    <row r="773" spans="1:8">
      <c r="A773" s="45"/>
      <c r="B773" s="45"/>
      <c r="C773" s="45"/>
      <c r="D773" s="45"/>
      <c r="E773" s="45"/>
      <c r="F773" s="45"/>
      <c r="G773" s="45"/>
      <c r="H773" s="45"/>
    </row>
    <row r="774" spans="1:8">
      <c r="A774" s="44"/>
      <c r="B774" s="44"/>
      <c r="C774" s="44"/>
      <c r="D774" s="44"/>
      <c r="E774" s="44"/>
      <c r="F774" s="44"/>
      <c r="G774" s="44"/>
      <c r="H774" s="44"/>
    </row>
    <row r="775" spans="1:8">
      <c r="A775" s="45"/>
      <c r="B775" s="45"/>
      <c r="C775" s="45"/>
      <c r="D775" s="45"/>
      <c r="E775" s="45"/>
      <c r="F775" s="45"/>
      <c r="G775" s="45"/>
      <c r="H775" s="45"/>
    </row>
    <row r="776" spans="1:8">
      <c r="A776" s="44"/>
      <c r="B776" s="44"/>
      <c r="C776" s="44"/>
      <c r="D776" s="44"/>
      <c r="E776" s="44"/>
      <c r="F776" s="44"/>
      <c r="G776" s="44"/>
      <c r="H776" s="44"/>
    </row>
    <row r="777" spans="1:8">
      <c r="A777" s="45"/>
      <c r="B777" s="45"/>
      <c r="C777" s="45"/>
      <c r="D777" s="45"/>
      <c r="E777" s="45"/>
      <c r="F777" s="45"/>
      <c r="G777" s="45"/>
      <c r="H777" s="45"/>
    </row>
    <row r="778" spans="1:8">
      <c r="A778" s="44"/>
      <c r="B778" s="44"/>
      <c r="C778" s="44"/>
      <c r="D778" s="44"/>
      <c r="E778" s="44"/>
      <c r="F778" s="44"/>
      <c r="G778" s="44"/>
      <c r="H778" s="44"/>
    </row>
    <row r="779" spans="1:8">
      <c r="A779" s="45"/>
      <c r="B779" s="45"/>
      <c r="C779" s="45"/>
      <c r="D779" s="45"/>
      <c r="E779" s="45"/>
      <c r="F779" s="45"/>
      <c r="G779" s="45"/>
      <c r="H779" s="45"/>
    </row>
    <row r="780" spans="1:8">
      <c r="A780" s="44"/>
      <c r="B780" s="44"/>
      <c r="C780" s="44"/>
      <c r="D780" s="44"/>
      <c r="E780" s="44"/>
      <c r="F780" s="44"/>
      <c r="G780" s="44"/>
      <c r="H780" s="44"/>
    </row>
    <row r="781" spans="1:8">
      <c r="A781" s="45"/>
      <c r="B781" s="45"/>
      <c r="C781" s="45"/>
      <c r="D781" s="45"/>
      <c r="E781" s="45"/>
      <c r="F781" s="45"/>
      <c r="G781" s="45"/>
      <c r="H781" s="45"/>
    </row>
    <row r="782" spans="1:8">
      <c r="A782" s="44"/>
      <c r="B782" s="44"/>
      <c r="C782" s="44"/>
      <c r="D782" s="44"/>
      <c r="E782" s="44"/>
      <c r="F782" s="44"/>
      <c r="G782" s="44"/>
      <c r="H782" s="44"/>
    </row>
    <row r="783" spans="1:8">
      <c r="A783" s="45"/>
      <c r="B783" s="45"/>
      <c r="C783" s="45"/>
      <c r="D783" s="45"/>
      <c r="E783" s="45"/>
      <c r="F783" s="45"/>
      <c r="G783" s="45"/>
      <c r="H783" s="45"/>
    </row>
    <row r="784" spans="1:8">
      <c r="A784" s="44"/>
      <c r="B784" s="44"/>
      <c r="C784" s="44"/>
      <c r="D784" s="44"/>
      <c r="E784" s="44"/>
      <c r="F784" s="44"/>
      <c r="G784" s="44"/>
      <c r="H784" s="44"/>
    </row>
    <row r="785" spans="1:8">
      <c r="A785" s="45"/>
      <c r="B785" s="45"/>
      <c r="C785" s="45"/>
      <c r="D785" s="45"/>
      <c r="E785" s="45"/>
      <c r="F785" s="45"/>
      <c r="G785" s="45"/>
      <c r="H785" s="45"/>
    </row>
    <row r="786" spans="1:8">
      <c r="A786" s="44"/>
      <c r="B786" s="44"/>
      <c r="C786" s="44"/>
      <c r="D786" s="44"/>
      <c r="E786" s="44"/>
      <c r="F786" s="44"/>
      <c r="G786" s="44"/>
      <c r="H786" s="44"/>
    </row>
    <row r="787" spans="1:8">
      <c r="A787" s="45"/>
      <c r="B787" s="45"/>
      <c r="C787" s="45"/>
      <c r="D787" s="45"/>
      <c r="E787" s="45"/>
      <c r="F787" s="45"/>
      <c r="G787" s="45"/>
      <c r="H787" s="45"/>
    </row>
    <row r="788" spans="1:8">
      <c r="A788" s="44"/>
      <c r="B788" s="44"/>
      <c r="C788" s="44"/>
      <c r="D788" s="44"/>
      <c r="E788" s="44"/>
      <c r="F788" s="44"/>
      <c r="G788" s="44"/>
      <c r="H788" s="44"/>
    </row>
    <row r="789" spans="1:8">
      <c r="A789" s="45"/>
      <c r="B789" s="45"/>
      <c r="C789" s="45"/>
      <c r="D789" s="45"/>
      <c r="E789" s="45"/>
      <c r="F789" s="45"/>
      <c r="G789" s="45"/>
      <c r="H789" s="45"/>
    </row>
    <row r="790" spans="1:8">
      <c r="A790" s="44"/>
      <c r="B790" s="44"/>
      <c r="C790" s="44"/>
      <c r="D790" s="44"/>
      <c r="E790" s="44"/>
      <c r="F790" s="44"/>
      <c r="G790" s="44"/>
      <c r="H790" s="44"/>
    </row>
    <row r="791" spans="1:8">
      <c r="A791" s="45"/>
      <c r="B791" s="45"/>
      <c r="C791" s="45"/>
      <c r="D791" s="45"/>
      <c r="E791" s="45"/>
      <c r="F791" s="45"/>
      <c r="G791" s="45"/>
      <c r="H791" s="45"/>
    </row>
    <row r="792" spans="1:8">
      <c r="A792" s="44"/>
      <c r="B792" s="44"/>
      <c r="C792" s="44"/>
      <c r="D792" s="44"/>
      <c r="E792" s="44"/>
      <c r="F792" s="44"/>
      <c r="G792" s="44"/>
      <c r="H792" s="44"/>
    </row>
    <row r="793" spans="1:8">
      <c r="A793" s="45"/>
      <c r="B793" s="45"/>
      <c r="C793" s="45"/>
      <c r="D793" s="45"/>
      <c r="E793" s="45"/>
      <c r="F793" s="45"/>
      <c r="G793" s="45"/>
      <c r="H793" s="45"/>
    </row>
    <row r="794" spans="1:8">
      <c r="A794" s="44"/>
      <c r="B794" s="44"/>
      <c r="C794" s="44"/>
      <c r="D794" s="44"/>
      <c r="E794" s="44"/>
      <c r="F794" s="44"/>
      <c r="G794" s="44"/>
      <c r="H794" s="44"/>
    </row>
    <row r="795" spans="1:8">
      <c r="A795" s="45"/>
      <c r="B795" s="45"/>
      <c r="C795" s="45"/>
      <c r="D795" s="45"/>
      <c r="E795" s="45"/>
      <c r="F795" s="45"/>
      <c r="G795" s="45"/>
      <c r="H795" s="45"/>
    </row>
    <row r="796" spans="1:8">
      <c r="A796" s="44"/>
      <c r="B796" s="44"/>
      <c r="C796" s="44"/>
      <c r="D796" s="44"/>
      <c r="E796" s="44"/>
      <c r="F796" s="44"/>
      <c r="G796" s="44"/>
      <c r="H796" s="44"/>
    </row>
    <row r="797" spans="1:8">
      <c r="A797" s="45"/>
      <c r="B797" s="45"/>
      <c r="C797" s="45"/>
      <c r="D797" s="45"/>
      <c r="E797" s="45"/>
      <c r="F797" s="45"/>
      <c r="G797" s="45"/>
      <c r="H797" s="45"/>
    </row>
    <row r="798" spans="1:8">
      <c r="A798" s="44"/>
      <c r="B798" s="44"/>
      <c r="C798" s="44"/>
      <c r="D798" s="44"/>
      <c r="E798" s="44"/>
      <c r="F798" s="44"/>
      <c r="G798" s="44"/>
      <c r="H798" s="44"/>
    </row>
    <row r="799" spans="1:8">
      <c r="A799" s="45"/>
      <c r="B799" s="45"/>
      <c r="C799" s="45"/>
      <c r="D799" s="45"/>
      <c r="E799" s="45"/>
      <c r="F799" s="45"/>
      <c r="G799" s="45"/>
      <c r="H799" s="45"/>
    </row>
    <row r="800" spans="1:8">
      <c r="A800" s="44"/>
      <c r="B800" s="44"/>
      <c r="C800" s="44"/>
      <c r="D800" s="44"/>
      <c r="E800" s="44"/>
      <c r="F800" s="44"/>
      <c r="G800" s="44"/>
      <c r="H800" s="44"/>
    </row>
    <row r="801" spans="1:8">
      <c r="A801" s="45"/>
      <c r="B801" s="45"/>
      <c r="C801" s="45"/>
      <c r="D801" s="45"/>
      <c r="E801" s="45"/>
      <c r="F801" s="45"/>
      <c r="G801" s="45"/>
      <c r="H801" s="45"/>
    </row>
    <row r="802" spans="1:8">
      <c r="A802" s="44"/>
      <c r="B802" s="44"/>
      <c r="C802" s="44"/>
      <c r="D802" s="44"/>
      <c r="E802" s="44"/>
      <c r="F802" s="44"/>
      <c r="G802" s="44"/>
      <c r="H802" s="44"/>
    </row>
    <row r="803" spans="1:8">
      <c r="A803" s="45"/>
      <c r="B803" s="45"/>
      <c r="C803" s="45"/>
      <c r="D803" s="45"/>
      <c r="E803" s="45"/>
      <c r="F803" s="45"/>
      <c r="G803" s="45"/>
      <c r="H803" s="45"/>
    </row>
    <row r="804" spans="1:8">
      <c r="A804" s="44"/>
      <c r="B804" s="44"/>
      <c r="C804" s="44"/>
      <c r="D804" s="44"/>
      <c r="E804" s="44"/>
      <c r="F804" s="44"/>
      <c r="G804" s="44"/>
      <c r="H804" s="44"/>
    </row>
    <row r="805" spans="1:8">
      <c r="A805" s="45"/>
      <c r="B805" s="45"/>
      <c r="C805" s="45"/>
      <c r="D805" s="45"/>
      <c r="E805" s="45"/>
      <c r="F805" s="45"/>
      <c r="G805" s="45"/>
      <c r="H805" s="45"/>
    </row>
    <row r="806" spans="1:8">
      <c r="A806" s="44"/>
      <c r="B806" s="44"/>
      <c r="C806" s="44"/>
      <c r="D806" s="44"/>
      <c r="E806" s="44"/>
      <c r="F806" s="44"/>
      <c r="G806" s="44"/>
      <c r="H806" s="44"/>
    </row>
    <row r="807" spans="1:8">
      <c r="A807" s="45"/>
      <c r="B807" s="45"/>
      <c r="C807" s="45"/>
      <c r="D807" s="45"/>
      <c r="E807" s="45"/>
      <c r="F807" s="45"/>
      <c r="G807" s="45"/>
      <c r="H807" s="45"/>
    </row>
    <row r="808" spans="1:8">
      <c r="A808" s="44"/>
      <c r="B808" s="44"/>
      <c r="C808" s="44"/>
      <c r="D808" s="44"/>
      <c r="E808" s="44"/>
      <c r="F808" s="44"/>
      <c r="G808" s="44"/>
      <c r="H808" s="44"/>
    </row>
    <row r="809" spans="1:8">
      <c r="A809" s="45"/>
      <c r="B809" s="45"/>
      <c r="C809" s="45"/>
      <c r="D809" s="45"/>
      <c r="E809" s="45"/>
      <c r="F809" s="45"/>
      <c r="G809" s="45"/>
      <c r="H809" s="45"/>
    </row>
    <row r="810" spans="1:8">
      <c r="A810" s="44"/>
      <c r="B810" s="44"/>
      <c r="C810" s="44"/>
      <c r="D810" s="44"/>
      <c r="E810" s="44"/>
      <c r="F810" s="44"/>
      <c r="G810" s="44"/>
      <c r="H810" s="44"/>
    </row>
    <row r="811" spans="1:8">
      <c r="A811" s="45"/>
      <c r="B811" s="45"/>
      <c r="C811" s="45"/>
      <c r="D811" s="45"/>
      <c r="E811" s="45"/>
      <c r="F811" s="45"/>
      <c r="G811" s="45"/>
      <c r="H811" s="45"/>
    </row>
    <row r="812" spans="1:8">
      <c r="A812" s="44"/>
      <c r="B812" s="44"/>
      <c r="C812" s="44"/>
      <c r="D812" s="44"/>
      <c r="E812" s="44"/>
      <c r="F812" s="44"/>
      <c r="G812" s="44"/>
      <c r="H812" s="44"/>
    </row>
    <row r="813" spans="1:8">
      <c r="A813" s="45"/>
      <c r="B813" s="45"/>
      <c r="C813" s="45"/>
      <c r="D813" s="45"/>
      <c r="E813" s="45"/>
      <c r="F813" s="45"/>
      <c r="G813" s="45"/>
      <c r="H813" s="45"/>
    </row>
    <row r="814" spans="1:8">
      <c r="A814" s="44"/>
      <c r="B814" s="44"/>
      <c r="C814" s="44"/>
      <c r="D814" s="44"/>
      <c r="E814" s="44"/>
      <c r="F814" s="44"/>
      <c r="G814" s="44"/>
      <c r="H814" s="44"/>
    </row>
    <row r="815" spans="1:8">
      <c r="A815" s="45"/>
      <c r="B815" s="45"/>
      <c r="C815" s="45"/>
      <c r="D815" s="45"/>
      <c r="E815" s="45"/>
      <c r="F815" s="45"/>
      <c r="G815" s="45"/>
      <c r="H815" s="45"/>
    </row>
    <row r="816" spans="1:8">
      <c r="A816" s="44"/>
      <c r="B816" s="44"/>
      <c r="C816" s="44"/>
      <c r="D816" s="44"/>
      <c r="E816" s="44"/>
      <c r="F816" s="44"/>
      <c r="G816" s="44"/>
      <c r="H816" s="44"/>
    </row>
    <row r="817" spans="1:8">
      <c r="A817" s="45"/>
      <c r="B817" s="45"/>
      <c r="C817" s="45"/>
      <c r="D817" s="45"/>
      <c r="E817" s="45"/>
      <c r="F817" s="45"/>
      <c r="G817" s="45"/>
      <c r="H817" s="45"/>
    </row>
    <row r="818" spans="1:8">
      <c r="A818" s="44"/>
      <c r="B818" s="44"/>
      <c r="C818" s="44"/>
      <c r="D818" s="44"/>
      <c r="E818" s="44"/>
      <c r="F818" s="44"/>
      <c r="G818" s="44"/>
      <c r="H818" s="44"/>
    </row>
    <row r="819" spans="1:8">
      <c r="A819" s="45"/>
      <c r="B819" s="45"/>
      <c r="C819" s="45"/>
      <c r="D819" s="45"/>
      <c r="E819" s="45"/>
      <c r="F819" s="45"/>
      <c r="G819" s="45"/>
      <c r="H819" s="45"/>
    </row>
    <row r="820" spans="1:8">
      <c r="A820" s="44"/>
      <c r="B820" s="44"/>
      <c r="C820" s="44"/>
      <c r="D820" s="44"/>
      <c r="E820" s="44"/>
      <c r="F820" s="44"/>
      <c r="G820" s="44"/>
      <c r="H820" s="44"/>
    </row>
    <row r="821" spans="1:8">
      <c r="A821" s="45"/>
      <c r="B821" s="45"/>
      <c r="C821" s="45"/>
      <c r="D821" s="45"/>
      <c r="E821" s="45"/>
      <c r="F821" s="45"/>
      <c r="G821" s="45"/>
      <c r="H821" s="45"/>
    </row>
    <row r="822" spans="1:8">
      <c r="A822" s="44"/>
      <c r="B822" s="44"/>
      <c r="C822" s="44"/>
      <c r="D822" s="44"/>
      <c r="E822" s="44"/>
      <c r="F822" s="44"/>
      <c r="G822" s="44"/>
      <c r="H822" s="44"/>
    </row>
    <row r="823" spans="1:8">
      <c r="A823" s="45"/>
      <c r="B823" s="45"/>
      <c r="C823" s="45"/>
      <c r="D823" s="45"/>
      <c r="E823" s="45"/>
      <c r="F823" s="45"/>
      <c r="G823" s="45"/>
      <c r="H823" s="45"/>
    </row>
    <row r="824" spans="1:8">
      <c r="A824" s="44"/>
      <c r="B824" s="44"/>
      <c r="C824" s="44"/>
      <c r="D824" s="44"/>
      <c r="E824" s="44"/>
      <c r="F824" s="44"/>
      <c r="G824" s="44"/>
      <c r="H824" s="44"/>
    </row>
    <row r="825" spans="1:8">
      <c r="A825" s="45"/>
      <c r="B825" s="45"/>
      <c r="C825" s="45"/>
      <c r="D825" s="45"/>
      <c r="E825" s="45"/>
      <c r="F825" s="45"/>
      <c r="G825" s="45"/>
      <c r="H825" s="45"/>
    </row>
    <row r="826" spans="1:8">
      <c r="A826" s="44"/>
      <c r="B826" s="44"/>
      <c r="C826" s="44"/>
      <c r="D826" s="44"/>
      <c r="E826" s="44"/>
      <c r="F826" s="44"/>
      <c r="G826" s="44"/>
      <c r="H826" s="44"/>
    </row>
    <row r="827" spans="1:8">
      <c r="A827" s="45"/>
      <c r="B827" s="45"/>
      <c r="C827" s="45"/>
      <c r="D827" s="45"/>
      <c r="E827" s="45"/>
      <c r="F827" s="45"/>
      <c r="G827" s="45"/>
      <c r="H827" s="45"/>
    </row>
    <row r="828" spans="1:8">
      <c r="A828" s="44"/>
      <c r="B828" s="44"/>
      <c r="C828" s="44"/>
      <c r="D828" s="44"/>
      <c r="E828" s="44"/>
      <c r="F828" s="44"/>
      <c r="G828" s="44"/>
      <c r="H828" s="44"/>
    </row>
    <row r="829" spans="1:8">
      <c r="A829" s="45"/>
      <c r="B829" s="45"/>
      <c r="C829" s="45"/>
      <c r="D829" s="45"/>
      <c r="E829" s="45"/>
      <c r="F829" s="45"/>
      <c r="G829" s="45"/>
      <c r="H829" s="45"/>
    </row>
    <row r="830" spans="1:8">
      <c r="A830" s="44"/>
      <c r="B830" s="44"/>
      <c r="C830" s="44"/>
      <c r="D830" s="44"/>
      <c r="E830" s="44"/>
      <c r="F830" s="44"/>
      <c r="G830" s="44"/>
      <c r="H830" s="44"/>
    </row>
    <row r="831" spans="1:8">
      <c r="A831" s="45"/>
      <c r="B831" s="45"/>
      <c r="C831" s="45"/>
      <c r="D831" s="45"/>
      <c r="E831" s="45"/>
      <c r="F831" s="45"/>
      <c r="G831" s="45"/>
      <c r="H831" s="45"/>
    </row>
    <row r="832" spans="1:8">
      <c r="A832" s="44"/>
      <c r="B832" s="44"/>
      <c r="C832" s="44"/>
      <c r="D832" s="44"/>
      <c r="E832" s="44"/>
      <c r="F832" s="44"/>
      <c r="G832" s="44"/>
      <c r="H832" s="44"/>
    </row>
    <row r="833" spans="1:8">
      <c r="A833" s="45"/>
      <c r="B833" s="45"/>
      <c r="C833" s="45"/>
      <c r="D833" s="45"/>
      <c r="E833" s="45"/>
      <c r="F833" s="45"/>
      <c r="G833" s="45"/>
      <c r="H833" s="45"/>
    </row>
    <row r="834" spans="1:8">
      <c r="A834" s="44"/>
      <c r="B834" s="44"/>
      <c r="C834" s="44"/>
      <c r="D834" s="44"/>
      <c r="E834" s="44"/>
      <c r="F834" s="44"/>
      <c r="G834" s="44"/>
      <c r="H834" s="44"/>
    </row>
    <row r="835" spans="1:8">
      <c r="A835" s="45"/>
      <c r="B835" s="45"/>
      <c r="C835" s="45"/>
      <c r="D835" s="45"/>
      <c r="E835" s="45"/>
      <c r="F835" s="45"/>
      <c r="G835" s="45"/>
      <c r="H835" s="45"/>
    </row>
    <row r="836" spans="1:8">
      <c r="A836" s="44"/>
      <c r="B836" s="44"/>
      <c r="C836" s="44"/>
      <c r="D836" s="44"/>
      <c r="E836" s="44"/>
      <c r="F836" s="44"/>
      <c r="G836" s="44"/>
      <c r="H836" s="44"/>
    </row>
    <row r="837" spans="1:8">
      <c r="A837" s="45"/>
      <c r="B837" s="45"/>
      <c r="C837" s="45"/>
      <c r="D837" s="45"/>
      <c r="E837" s="45"/>
      <c r="F837" s="45"/>
      <c r="G837" s="45"/>
      <c r="H837" s="45"/>
    </row>
    <row r="838" spans="1:8">
      <c r="A838" s="44"/>
      <c r="B838" s="44"/>
      <c r="C838" s="44"/>
      <c r="D838" s="44"/>
      <c r="E838" s="44"/>
      <c r="F838" s="44"/>
      <c r="G838" s="44"/>
      <c r="H838" s="44"/>
    </row>
    <row r="839" spans="1:8">
      <c r="A839" s="45"/>
      <c r="B839" s="45"/>
      <c r="C839" s="45"/>
      <c r="D839" s="45"/>
      <c r="E839" s="45"/>
      <c r="F839" s="45"/>
      <c r="G839" s="45"/>
      <c r="H839" s="45"/>
    </row>
    <row r="840" spans="1:8">
      <c r="A840" s="44"/>
      <c r="B840" s="44"/>
      <c r="C840" s="44"/>
      <c r="D840" s="44"/>
      <c r="E840" s="44"/>
      <c r="F840" s="44"/>
      <c r="G840" s="44"/>
      <c r="H840" s="44"/>
    </row>
    <row r="841" spans="1:8">
      <c r="A841" s="45"/>
      <c r="B841" s="45"/>
      <c r="C841" s="45"/>
      <c r="D841" s="45"/>
      <c r="E841" s="45"/>
      <c r="F841" s="45"/>
      <c r="G841" s="45"/>
      <c r="H841" s="45"/>
    </row>
    <row r="842" spans="1:8">
      <c r="A842" s="44"/>
      <c r="B842" s="44"/>
      <c r="C842" s="44"/>
      <c r="D842" s="44"/>
      <c r="E842" s="44"/>
      <c r="F842" s="44"/>
      <c r="G842" s="44"/>
      <c r="H842" s="44"/>
    </row>
    <row r="843" spans="1:8">
      <c r="A843" s="45"/>
      <c r="B843" s="45"/>
      <c r="C843" s="45"/>
      <c r="D843" s="45"/>
      <c r="E843" s="45"/>
      <c r="F843" s="45"/>
      <c r="G843" s="45"/>
      <c r="H843" s="45"/>
    </row>
    <row r="844" spans="1:8">
      <c r="A844" s="44"/>
      <c r="B844" s="44"/>
      <c r="C844" s="44"/>
      <c r="D844" s="44"/>
      <c r="E844" s="44"/>
      <c r="F844" s="44"/>
      <c r="G844" s="44"/>
      <c r="H844" s="44"/>
    </row>
    <row r="845" spans="1:8">
      <c r="A845" s="45"/>
      <c r="B845" s="45"/>
      <c r="C845" s="45"/>
      <c r="D845" s="45"/>
      <c r="E845" s="45"/>
      <c r="F845" s="45"/>
      <c r="G845" s="45"/>
      <c r="H845" s="45"/>
    </row>
    <row r="846" spans="1:8">
      <c r="A846" s="44"/>
      <c r="B846" s="44"/>
      <c r="C846" s="44"/>
      <c r="D846" s="44"/>
      <c r="E846" s="44"/>
      <c r="F846" s="44"/>
      <c r="G846" s="44"/>
      <c r="H846" s="44"/>
    </row>
    <row r="847" spans="1:8">
      <c r="A847" s="45"/>
      <c r="B847" s="45"/>
      <c r="C847" s="45"/>
      <c r="D847" s="45"/>
      <c r="E847" s="45"/>
      <c r="F847" s="45"/>
      <c r="G847" s="45"/>
      <c r="H847" s="45"/>
    </row>
    <row r="848" spans="1:8">
      <c r="A848" s="44"/>
      <c r="B848" s="44"/>
      <c r="C848" s="44"/>
      <c r="D848" s="44"/>
      <c r="E848" s="44"/>
      <c r="F848" s="44"/>
      <c r="G848" s="44"/>
      <c r="H848" s="44"/>
    </row>
    <row r="849" spans="1:8">
      <c r="A849" s="45"/>
      <c r="B849" s="45"/>
      <c r="C849" s="45"/>
      <c r="D849" s="45"/>
      <c r="E849" s="45"/>
      <c r="F849" s="45"/>
      <c r="G849" s="45"/>
      <c r="H849" s="45"/>
    </row>
    <row r="850" spans="1:8">
      <c r="A850" s="44"/>
      <c r="B850" s="44"/>
      <c r="C850" s="44"/>
      <c r="D850" s="44"/>
      <c r="E850" s="44"/>
      <c r="F850" s="44"/>
      <c r="G850" s="44"/>
      <c r="H850" s="44"/>
    </row>
    <row r="851" spans="1:8">
      <c r="A851" s="45"/>
      <c r="B851" s="45"/>
      <c r="C851" s="45"/>
      <c r="D851" s="45"/>
      <c r="E851" s="45"/>
      <c r="F851" s="45"/>
      <c r="G851" s="45"/>
      <c r="H851" s="45"/>
    </row>
    <row r="852" spans="1:8">
      <c r="A852" s="44"/>
      <c r="B852" s="44"/>
      <c r="C852" s="44"/>
      <c r="D852" s="44"/>
      <c r="E852" s="44"/>
      <c r="F852" s="44"/>
      <c r="G852" s="44"/>
      <c r="H852" s="44"/>
    </row>
    <row r="853" spans="1:8">
      <c r="A853" s="45"/>
      <c r="B853" s="45"/>
      <c r="C853" s="45"/>
      <c r="D853" s="45"/>
      <c r="E853" s="45"/>
      <c r="F853" s="45"/>
      <c r="G853" s="45"/>
      <c r="H853" s="45"/>
    </row>
    <row r="854" spans="1:8">
      <c r="A854" s="44"/>
      <c r="B854" s="44"/>
      <c r="C854" s="44"/>
      <c r="D854" s="44"/>
      <c r="E854" s="44"/>
      <c r="F854" s="44"/>
      <c r="G854" s="44"/>
      <c r="H854" s="44"/>
    </row>
    <row r="855" spans="1:8">
      <c r="A855" s="45"/>
      <c r="B855" s="45"/>
      <c r="C855" s="45"/>
      <c r="D855" s="45"/>
      <c r="E855" s="45"/>
      <c r="F855" s="45"/>
      <c r="G855" s="45"/>
      <c r="H855" s="45"/>
    </row>
    <row r="856" spans="1:8">
      <c r="A856" s="44"/>
      <c r="B856" s="44"/>
      <c r="C856" s="44"/>
      <c r="D856" s="44"/>
      <c r="E856" s="44"/>
      <c r="F856" s="44"/>
      <c r="G856" s="44"/>
      <c r="H856" s="44"/>
    </row>
    <row r="857" spans="1:8">
      <c r="A857" s="45"/>
      <c r="B857" s="45"/>
      <c r="C857" s="45"/>
      <c r="D857" s="45"/>
      <c r="E857" s="45"/>
      <c r="F857" s="45"/>
      <c r="G857" s="45"/>
      <c r="H857" s="45"/>
    </row>
    <row r="858" spans="1:8">
      <c r="A858" s="44"/>
      <c r="B858" s="44"/>
      <c r="C858" s="44"/>
      <c r="D858" s="44"/>
      <c r="E858" s="44"/>
      <c r="F858" s="44"/>
      <c r="G858" s="44"/>
      <c r="H858" s="44"/>
    </row>
    <row r="859" spans="1:8">
      <c r="A859" s="45"/>
      <c r="B859" s="45"/>
      <c r="C859" s="45"/>
      <c r="D859" s="45"/>
      <c r="E859" s="45"/>
      <c r="F859" s="45"/>
      <c r="G859" s="45"/>
      <c r="H859" s="45"/>
    </row>
    <row r="860" spans="1:8">
      <c r="A860" s="44"/>
      <c r="B860" s="44"/>
      <c r="C860" s="44"/>
      <c r="D860" s="44"/>
      <c r="E860" s="44"/>
      <c r="F860" s="44"/>
      <c r="G860" s="44"/>
      <c r="H860" s="44"/>
    </row>
    <row r="861" spans="1:8">
      <c r="A861" s="45"/>
      <c r="B861" s="45"/>
      <c r="C861" s="45"/>
      <c r="D861" s="45"/>
      <c r="E861" s="45"/>
      <c r="F861" s="45"/>
      <c r="G861" s="45"/>
      <c r="H861" s="45"/>
    </row>
    <row r="862" spans="1:8">
      <c r="A862" s="44"/>
      <c r="B862" s="44"/>
      <c r="C862" s="44"/>
      <c r="D862" s="44"/>
      <c r="E862" s="44"/>
      <c r="F862" s="44"/>
      <c r="G862" s="44"/>
      <c r="H862" s="44"/>
    </row>
    <row r="863" spans="1:8">
      <c r="A863" s="45"/>
      <c r="B863" s="45"/>
      <c r="C863" s="45"/>
      <c r="D863" s="45"/>
      <c r="E863" s="45"/>
      <c r="F863" s="45"/>
      <c r="G863" s="45"/>
      <c r="H863" s="45"/>
    </row>
    <row r="864" spans="1:8">
      <c r="A864" s="44"/>
      <c r="B864" s="44"/>
      <c r="C864" s="44"/>
      <c r="D864" s="44"/>
      <c r="E864" s="44"/>
      <c r="F864" s="44"/>
      <c r="G864" s="44"/>
      <c r="H864" s="44"/>
    </row>
    <row r="865" spans="1:8">
      <c r="A865" s="45"/>
      <c r="B865" s="45"/>
      <c r="C865" s="45"/>
      <c r="D865" s="45"/>
      <c r="E865" s="45"/>
      <c r="F865" s="45"/>
      <c r="G865" s="45"/>
      <c r="H865" s="45"/>
    </row>
    <row r="866" spans="1:8">
      <c r="A866" s="44"/>
      <c r="B866" s="44"/>
      <c r="C866" s="44"/>
      <c r="D866" s="44"/>
      <c r="E866" s="44"/>
      <c r="F866" s="44"/>
      <c r="G866" s="44"/>
      <c r="H866" s="44"/>
    </row>
    <row r="867" spans="1:8">
      <c r="A867" s="45"/>
      <c r="B867" s="45"/>
      <c r="C867" s="45"/>
      <c r="D867" s="45"/>
      <c r="E867" s="45"/>
      <c r="F867" s="45"/>
      <c r="G867" s="45"/>
      <c r="H867" s="45"/>
    </row>
    <row r="868" spans="1:8">
      <c r="A868" s="44"/>
      <c r="B868" s="44"/>
      <c r="C868" s="44"/>
      <c r="D868" s="44"/>
      <c r="E868" s="44"/>
      <c r="F868" s="44"/>
      <c r="G868" s="44"/>
      <c r="H868" s="44"/>
    </row>
    <row r="869" spans="1:8">
      <c r="A869" s="45"/>
      <c r="B869" s="45"/>
      <c r="C869" s="45"/>
      <c r="D869" s="45"/>
      <c r="E869" s="45"/>
      <c r="F869" s="45"/>
      <c r="G869" s="45"/>
      <c r="H869" s="45"/>
    </row>
    <row r="870" spans="1:8">
      <c r="A870" s="44"/>
      <c r="B870" s="44"/>
      <c r="C870" s="44"/>
      <c r="D870" s="44"/>
      <c r="E870" s="44"/>
      <c r="F870" s="44"/>
      <c r="G870" s="44"/>
      <c r="H870" s="44"/>
    </row>
    <row r="871" spans="1:8">
      <c r="A871" s="45"/>
      <c r="B871" s="45"/>
      <c r="C871" s="45"/>
      <c r="D871" s="45"/>
      <c r="E871" s="45"/>
      <c r="F871" s="45"/>
      <c r="G871" s="45"/>
      <c r="H871" s="45"/>
    </row>
    <row r="872" spans="1:8">
      <c r="A872" s="44"/>
      <c r="B872" s="44"/>
      <c r="C872" s="44"/>
      <c r="D872" s="44"/>
      <c r="E872" s="44"/>
      <c r="F872" s="44"/>
      <c r="G872" s="44"/>
      <c r="H872" s="44"/>
    </row>
    <row r="873" spans="1:8">
      <c r="A873" s="45"/>
      <c r="B873" s="45"/>
      <c r="C873" s="45"/>
      <c r="D873" s="45"/>
      <c r="E873" s="45"/>
      <c r="F873" s="45"/>
      <c r="G873" s="45"/>
      <c r="H873" s="45"/>
    </row>
    <row r="874" spans="1:8">
      <c r="A874" s="44"/>
      <c r="B874" s="44"/>
      <c r="C874" s="44"/>
      <c r="D874" s="44"/>
      <c r="E874" s="44"/>
      <c r="F874" s="44"/>
      <c r="G874" s="44"/>
      <c r="H874" s="44"/>
    </row>
    <row r="875" spans="1:8">
      <c r="A875" s="45"/>
      <c r="B875" s="45"/>
      <c r="C875" s="45"/>
      <c r="D875" s="45"/>
      <c r="E875" s="45"/>
      <c r="F875" s="45"/>
      <c r="G875" s="45"/>
      <c r="H875" s="45"/>
    </row>
    <row r="876" spans="1:8">
      <c r="A876" s="44"/>
      <c r="B876" s="44"/>
      <c r="C876" s="44"/>
      <c r="D876" s="44"/>
      <c r="E876" s="44"/>
      <c r="F876" s="44"/>
      <c r="G876" s="44"/>
      <c r="H876" s="44"/>
    </row>
    <row r="877" spans="1:8">
      <c r="A877" s="45"/>
      <c r="B877" s="45"/>
      <c r="C877" s="45"/>
      <c r="D877" s="45"/>
      <c r="E877" s="45"/>
      <c r="F877" s="45"/>
      <c r="G877" s="45"/>
      <c r="H877" s="45"/>
    </row>
    <row r="878" spans="1:8">
      <c r="A878" s="44"/>
      <c r="B878" s="44"/>
      <c r="C878" s="44"/>
      <c r="D878" s="44"/>
      <c r="E878" s="44"/>
      <c r="F878" s="44"/>
      <c r="G878" s="44"/>
      <c r="H878" s="44"/>
    </row>
    <row r="879" spans="1:8">
      <c r="A879" s="45"/>
      <c r="B879" s="45"/>
      <c r="C879" s="45"/>
      <c r="D879" s="45"/>
      <c r="E879" s="45"/>
      <c r="F879" s="45"/>
      <c r="G879" s="45"/>
      <c r="H879" s="45"/>
    </row>
    <row r="880" spans="1:8">
      <c r="A880" s="44"/>
      <c r="B880" s="44"/>
      <c r="C880" s="44"/>
      <c r="D880" s="44"/>
      <c r="E880" s="44"/>
      <c r="F880" s="44"/>
      <c r="G880" s="44"/>
      <c r="H880" s="44"/>
    </row>
    <row r="881" spans="1:8">
      <c r="A881" s="45"/>
      <c r="B881" s="45"/>
      <c r="C881" s="45"/>
      <c r="D881" s="45"/>
      <c r="E881" s="45"/>
      <c r="F881" s="45"/>
      <c r="G881" s="45"/>
      <c r="H881" s="45"/>
    </row>
    <row r="882" spans="1:8">
      <c r="A882" s="44"/>
      <c r="B882" s="44"/>
      <c r="C882" s="44"/>
      <c r="D882" s="44"/>
      <c r="E882" s="44"/>
      <c r="F882" s="44"/>
      <c r="G882" s="44"/>
      <c r="H882" s="44"/>
    </row>
    <row r="883" spans="1:8">
      <c r="A883" s="45"/>
      <c r="B883" s="45"/>
      <c r="C883" s="45"/>
      <c r="D883" s="45"/>
      <c r="E883" s="45"/>
      <c r="F883" s="45"/>
      <c r="G883" s="45"/>
      <c r="H883" s="45"/>
    </row>
    <row r="884" spans="1:8">
      <c r="A884" s="44"/>
      <c r="B884" s="44"/>
      <c r="C884" s="44"/>
      <c r="D884" s="44"/>
      <c r="E884" s="44"/>
      <c r="F884" s="44"/>
      <c r="G884" s="44"/>
      <c r="H884" s="44"/>
    </row>
    <row r="885" spans="1:8">
      <c r="A885" s="45"/>
      <c r="B885" s="45"/>
      <c r="C885" s="45"/>
      <c r="D885" s="45"/>
      <c r="E885" s="45"/>
      <c r="F885" s="45"/>
      <c r="G885" s="45"/>
      <c r="H885" s="45"/>
    </row>
    <row r="886" spans="1:8">
      <c r="A886" s="44"/>
      <c r="B886" s="44"/>
      <c r="C886" s="44"/>
      <c r="D886" s="44"/>
      <c r="E886" s="44"/>
      <c r="F886" s="44"/>
      <c r="G886" s="44"/>
      <c r="H886" s="44"/>
    </row>
    <row r="887" spans="1:8">
      <c r="A887" s="45"/>
      <c r="B887" s="45"/>
      <c r="C887" s="45"/>
      <c r="D887" s="45"/>
      <c r="E887" s="45"/>
      <c r="F887" s="45"/>
      <c r="G887" s="45"/>
      <c r="H887" s="45"/>
    </row>
    <row r="888" spans="1:8">
      <c r="A888" s="44"/>
      <c r="B888" s="44"/>
      <c r="C888" s="44"/>
      <c r="D888" s="44"/>
      <c r="E888" s="44"/>
      <c r="F888" s="44"/>
      <c r="G888" s="44"/>
      <c r="H888" s="44"/>
    </row>
    <row r="889" spans="1:8">
      <c r="A889" s="45"/>
      <c r="B889" s="45"/>
      <c r="C889" s="45"/>
      <c r="D889" s="45"/>
      <c r="E889" s="45"/>
      <c r="F889" s="45"/>
      <c r="G889" s="45"/>
      <c r="H889" s="45"/>
    </row>
    <row r="890" spans="1:8">
      <c r="A890" s="44"/>
      <c r="B890" s="44"/>
      <c r="C890" s="44"/>
      <c r="D890" s="44"/>
      <c r="E890" s="44"/>
      <c r="F890" s="44"/>
      <c r="G890" s="44"/>
      <c r="H890" s="44"/>
    </row>
    <row r="891" spans="1:8">
      <c r="A891" s="45"/>
      <c r="B891" s="45"/>
      <c r="C891" s="45"/>
      <c r="D891" s="45"/>
      <c r="E891" s="45"/>
      <c r="F891" s="45"/>
      <c r="G891" s="45"/>
      <c r="H891" s="45"/>
    </row>
    <row r="892" spans="1:8">
      <c r="A892" s="44"/>
      <c r="B892" s="44"/>
      <c r="C892" s="44"/>
      <c r="D892" s="44"/>
      <c r="E892" s="44"/>
      <c r="F892" s="44"/>
      <c r="G892" s="44"/>
      <c r="H892" s="44"/>
    </row>
    <row r="893" spans="1:8">
      <c r="A893" s="45"/>
      <c r="B893" s="45"/>
      <c r="C893" s="45"/>
      <c r="D893" s="45"/>
      <c r="E893" s="45"/>
      <c r="F893" s="45"/>
      <c r="G893" s="45"/>
      <c r="H893" s="45"/>
    </row>
    <row r="894" spans="1:8">
      <c r="A894" s="44"/>
      <c r="B894" s="44"/>
      <c r="C894" s="44"/>
      <c r="D894" s="44"/>
      <c r="E894" s="44"/>
      <c r="F894" s="44"/>
      <c r="G894" s="44"/>
      <c r="H894" s="44"/>
    </row>
    <row r="895" spans="1:8">
      <c r="A895" s="45"/>
      <c r="B895" s="45"/>
      <c r="C895" s="45"/>
      <c r="D895" s="45"/>
      <c r="E895" s="45"/>
      <c r="F895" s="45"/>
      <c r="G895" s="45"/>
      <c r="H895" s="45"/>
    </row>
    <row r="896" spans="1:8">
      <c r="A896" s="44"/>
      <c r="B896" s="44"/>
      <c r="C896" s="44"/>
      <c r="D896" s="44"/>
      <c r="E896" s="44"/>
      <c r="F896" s="44"/>
      <c r="G896" s="44"/>
      <c r="H896" s="44"/>
    </row>
    <row r="897" spans="1:8">
      <c r="A897" s="45"/>
      <c r="B897" s="45"/>
      <c r="C897" s="45"/>
      <c r="D897" s="45"/>
      <c r="E897" s="45"/>
      <c r="F897" s="45"/>
      <c r="G897" s="45"/>
      <c r="H897" s="45"/>
    </row>
    <row r="898" spans="1:8">
      <c r="A898" s="44"/>
      <c r="B898" s="44"/>
      <c r="C898" s="44"/>
      <c r="D898" s="44"/>
      <c r="E898" s="44"/>
      <c r="F898" s="44"/>
      <c r="G898" s="44"/>
      <c r="H898" s="44"/>
    </row>
    <row r="899" spans="1:8">
      <c r="A899" s="45"/>
      <c r="B899" s="45"/>
      <c r="C899" s="45"/>
      <c r="D899" s="45"/>
      <c r="E899" s="45"/>
      <c r="F899" s="45"/>
      <c r="G899" s="45"/>
      <c r="H899" s="45"/>
    </row>
    <row r="900" spans="1:8">
      <c r="A900" s="44"/>
      <c r="B900" s="44"/>
      <c r="C900" s="44"/>
      <c r="D900" s="44"/>
      <c r="E900" s="44"/>
      <c r="F900" s="44"/>
      <c r="G900" s="44"/>
      <c r="H900" s="44"/>
    </row>
    <row r="901" spans="1:8">
      <c r="A901" s="45"/>
      <c r="B901" s="45"/>
      <c r="C901" s="45"/>
      <c r="D901" s="45"/>
      <c r="E901" s="45"/>
      <c r="F901" s="45"/>
      <c r="G901" s="45"/>
      <c r="H901" s="45"/>
    </row>
    <row r="902" spans="1:8">
      <c r="A902" s="44"/>
      <c r="B902" s="44"/>
      <c r="C902" s="44"/>
      <c r="D902" s="44"/>
      <c r="E902" s="44"/>
      <c r="F902" s="44"/>
      <c r="G902" s="44"/>
      <c r="H902" s="44"/>
    </row>
    <row r="903" spans="1:8">
      <c r="A903" s="45"/>
      <c r="B903" s="45"/>
      <c r="C903" s="45"/>
      <c r="D903" s="45"/>
      <c r="E903" s="45"/>
      <c r="F903" s="45"/>
      <c r="G903" s="45"/>
      <c r="H903" s="45"/>
    </row>
    <row r="904" spans="1:8">
      <c r="A904" s="44"/>
      <c r="B904" s="44"/>
      <c r="C904" s="44"/>
      <c r="D904" s="44"/>
      <c r="E904" s="44"/>
      <c r="F904" s="44"/>
      <c r="G904" s="44"/>
      <c r="H904" s="44"/>
    </row>
    <row r="905" spans="1:8">
      <c r="A905" s="45"/>
      <c r="B905" s="45"/>
      <c r="C905" s="45"/>
      <c r="D905" s="45"/>
      <c r="E905" s="45"/>
      <c r="F905" s="45"/>
      <c r="G905" s="45"/>
      <c r="H905" s="45"/>
    </row>
    <row r="906" spans="1:8">
      <c r="A906" s="44"/>
      <c r="B906" s="44"/>
      <c r="C906" s="44"/>
      <c r="D906" s="44"/>
      <c r="E906" s="44"/>
      <c r="F906" s="44"/>
      <c r="G906" s="44"/>
      <c r="H906" s="44"/>
    </row>
    <row r="907" spans="1:8">
      <c r="A907" s="45"/>
      <c r="B907" s="45"/>
      <c r="C907" s="45"/>
      <c r="D907" s="45"/>
      <c r="E907" s="45"/>
      <c r="F907" s="45"/>
      <c r="G907" s="45"/>
      <c r="H907" s="45"/>
    </row>
    <row r="908" spans="1:8">
      <c r="A908" s="44"/>
      <c r="B908" s="44"/>
      <c r="C908" s="44"/>
      <c r="D908" s="44"/>
      <c r="E908" s="44"/>
      <c r="F908" s="44"/>
      <c r="G908" s="44"/>
      <c r="H908" s="44"/>
    </row>
    <row r="909" spans="1:8">
      <c r="A909" s="45"/>
      <c r="B909" s="45"/>
      <c r="C909" s="45"/>
      <c r="D909" s="45"/>
      <c r="E909" s="45"/>
      <c r="F909" s="45"/>
      <c r="G909" s="45"/>
      <c r="H909" s="45"/>
    </row>
    <row r="910" spans="1:8">
      <c r="A910" s="44"/>
      <c r="B910" s="44"/>
      <c r="C910" s="44"/>
      <c r="D910" s="44"/>
      <c r="E910" s="44"/>
      <c r="F910" s="44"/>
      <c r="G910" s="44"/>
      <c r="H910" s="44"/>
    </row>
    <row r="911" spans="1:8">
      <c r="A911" s="45"/>
      <c r="B911" s="45"/>
      <c r="C911" s="45"/>
      <c r="D911" s="45"/>
      <c r="E911" s="45"/>
      <c r="F911" s="45"/>
      <c r="G911" s="45"/>
      <c r="H911" s="45"/>
    </row>
    <row r="912" spans="1:8">
      <c r="A912" s="44"/>
      <c r="B912" s="44"/>
      <c r="C912" s="44"/>
      <c r="D912" s="44"/>
      <c r="E912" s="44"/>
      <c r="F912" s="44"/>
      <c r="G912" s="44"/>
      <c r="H912" s="44"/>
    </row>
    <row r="913" spans="1:8">
      <c r="A913" s="45"/>
      <c r="B913" s="45"/>
      <c r="C913" s="45"/>
      <c r="D913" s="45"/>
      <c r="E913" s="45"/>
      <c r="F913" s="45"/>
      <c r="G913" s="45"/>
      <c r="H913" s="45"/>
    </row>
    <row r="914" spans="1:8">
      <c r="A914" s="44"/>
      <c r="B914" s="44"/>
      <c r="C914" s="44"/>
      <c r="D914" s="44"/>
      <c r="E914" s="44"/>
      <c r="F914" s="44"/>
      <c r="G914" s="44"/>
      <c r="H914" s="44"/>
    </row>
    <row r="915" spans="1:8">
      <c r="A915" s="45"/>
      <c r="B915" s="45"/>
      <c r="C915" s="45"/>
      <c r="D915" s="45"/>
      <c r="E915" s="45"/>
      <c r="F915" s="45"/>
      <c r="G915" s="45"/>
      <c r="H915" s="45"/>
    </row>
    <row r="916" spans="1:8">
      <c r="A916" s="44"/>
      <c r="B916" s="44"/>
      <c r="C916" s="44"/>
      <c r="D916" s="44"/>
      <c r="E916" s="44"/>
      <c r="F916" s="44"/>
      <c r="G916" s="44"/>
      <c r="H916" s="44"/>
    </row>
    <row r="917" spans="1:8">
      <c r="A917" s="45"/>
      <c r="B917" s="45"/>
      <c r="C917" s="45"/>
      <c r="D917" s="45"/>
      <c r="E917" s="45"/>
      <c r="F917" s="45"/>
      <c r="G917" s="45"/>
      <c r="H917" s="45"/>
    </row>
    <row r="918" spans="1:8">
      <c r="A918" s="44"/>
      <c r="B918" s="44"/>
      <c r="C918" s="44"/>
      <c r="D918" s="44"/>
      <c r="E918" s="44"/>
      <c r="F918" s="44"/>
      <c r="G918" s="44"/>
      <c r="H918" s="44"/>
    </row>
    <row r="919" spans="1:8">
      <c r="A919" s="45"/>
      <c r="B919" s="45"/>
      <c r="C919" s="45"/>
      <c r="D919" s="45"/>
      <c r="E919" s="45"/>
      <c r="F919" s="45"/>
      <c r="G919" s="45"/>
      <c r="H919" s="45"/>
    </row>
    <row r="920" spans="1:8">
      <c r="A920" s="44"/>
      <c r="B920" s="44"/>
      <c r="C920" s="44"/>
      <c r="D920" s="44"/>
      <c r="E920" s="44"/>
      <c r="F920" s="44"/>
      <c r="G920" s="44"/>
      <c r="H920" s="44"/>
    </row>
    <row r="921" spans="1:8">
      <c r="A921" s="45"/>
      <c r="B921" s="45"/>
      <c r="C921" s="45"/>
      <c r="D921" s="45"/>
      <c r="E921" s="45"/>
      <c r="F921" s="45"/>
      <c r="G921" s="45"/>
      <c r="H921" s="45"/>
    </row>
    <row r="922" spans="1:8">
      <c r="A922" s="44"/>
      <c r="B922" s="44"/>
      <c r="C922" s="44"/>
      <c r="D922" s="44"/>
      <c r="E922" s="44"/>
      <c r="F922" s="44"/>
      <c r="G922" s="44"/>
      <c r="H922" s="44"/>
    </row>
    <row r="923" spans="1:8">
      <c r="A923" s="45"/>
      <c r="B923" s="45"/>
      <c r="C923" s="45"/>
      <c r="D923" s="45"/>
      <c r="E923" s="45"/>
      <c r="F923" s="45"/>
      <c r="G923" s="45"/>
      <c r="H923" s="45"/>
    </row>
    <row r="924" spans="1:8">
      <c r="A924" s="44"/>
      <c r="B924" s="44"/>
      <c r="C924" s="44"/>
      <c r="D924" s="44"/>
      <c r="E924" s="44"/>
      <c r="F924" s="44"/>
      <c r="G924" s="44"/>
      <c r="H924" s="44"/>
    </row>
    <row r="925" spans="1:8">
      <c r="A925" s="45"/>
      <c r="B925" s="45"/>
      <c r="C925" s="45"/>
      <c r="D925" s="45"/>
      <c r="E925" s="45"/>
      <c r="F925" s="45"/>
      <c r="G925" s="45"/>
      <c r="H925" s="45"/>
    </row>
    <row r="926" spans="1:8">
      <c r="A926" s="44"/>
      <c r="B926" s="44"/>
      <c r="C926" s="44"/>
      <c r="D926" s="44"/>
      <c r="E926" s="44"/>
      <c r="F926" s="44"/>
      <c r="G926" s="44"/>
      <c r="H926" s="44"/>
    </row>
    <row r="927" spans="1:8">
      <c r="A927" s="45"/>
      <c r="B927" s="45"/>
      <c r="C927" s="45"/>
      <c r="D927" s="45"/>
      <c r="E927" s="45"/>
      <c r="F927" s="45"/>
      <c r="G927" s="45"/>
      <c r="H927" s="45"/>
    </row>
    <row r="928" spans="1:8">
      <c r="A928" s="44"/>
      <c r="B928" s="44"/>
      <c r="C928" s="44"/>
      <c r="D928" s="44"/>
      <c r="E928" s="44"/>
      <c r="F928" s="44"/>
      <c r="G928" s="44"/>
      <c r="H928" s="44"/>
    </row>
    <row r="929" spans="1:8">
      <c r="A929" s="45"/>
      <c r="B929" s="45"/>
      <c r="C929" s="45"/>
      <c r="D929" s="45"/>
      <c r="E929" s="45"/>
      <c r="F929" s="45"/>
      <c r="G929" s="45"/>
      <c r="H929" s="45"/>
    </row>
    <row r="930" spans="1:8">
      <c r="A930" s="44"/>
      <c r="B930" s="44"/>
      <c r="C930" s="44"/>
      <c r="D930" s="44"/>
      <c r="E930" s="44"/>
      <c r="F930" s="44"/>
      <c r="G930" s="44"/>
      <c r="H930" s="44"/>
    </row>
    <row r="931" spans="1:8">
      <c r="A931" s="45"/>
      <c r="B931" s="45"/>
      <c r="C931" s="45"/>
      <c r="D931" s="45"/>
      <c r="E931" s="45"/>
      <c r="F931" s="45"/>
      <c r="G931" s="45"/>
      <c r="H931" s="45"/>
    </row>
    <row r="932" spans="1:8">
      <c r="A932" s="44"/>
      <c r="B932" s="44"/>
      <c r="C932" s="44"/>
      <c r="D932" s="44"/>
      <c r="E932" s="44"/>
      <c r="F932" s="44"/>
      <c r="G932" s="44"/>
      <c r="H932" s="44"/>
    </row>
    <row r="933" spans="1:8">
      <c r="A933" s="45"/>
      <c r="B933" s="45"/>
      <c r="C933" s="45"/>
      <c r="D933" s="45"/>
      <c r="E933" s="45"/>
      <c r="F933" s="45"/>
      <c r="G933" s="45"/>
      <c r="H933" s="45"/>
    </row>
    <row r="934" spans="1:8">
      <c r="A934" s="44"/>
      <c r="B934" s="44"/>
      <c r="C934" s="44"/>
      <c r="D934" s="44"/>
      <c r="E934" s="44"/>
      <c r="F934" s="44"/>
      <c r="G934" s="44"/>
      <c r="H934" s="44"/>
    </row>
    <row r="935" spans="1:8">
      <c r="A935" s="45"/>
      <c r="B935" s="45"/>
      <c r="C935" s="45"/>
      <c r="D935" s="45"/>
      <c r="E935" s="45"/>
      <c r="F935" s="45"/>
      <c r="G935" s="45"/>
      <c r="H935" s="45"/>
    </row>
    <row r="936" spans="1:8">
      <c r="A936" s="44"/>
      <c r="B936" s="44"/>
      <c r="C936" s="44"/>
      <c r="D936" s="44"/>
      <c r="E936" s="44"/>
      <c r="F936" s="44"/>
      <c r="G936" s="44"/>
      <c r="H936" s="44"/>
    </row>
    <row r="937" spans="1:8">
      <c r="A937" s="45"/>
      <c r="B937" s="45"/>
      <c r="C937" s="45"/>
      <c r="D937" s="45"/>
      <c r="E937" s="45"/>
      <c r="F937" s="45"/>
      <c r="G937" s="45"/>
      <c r="H937" s="45"/>
    </row>
    <row r="938" spans="1:8">
      <c r="A938" s="44"/>
      <c r="B938" s="44"/>
      <c r="C938" s="44"/>
      <c r="D938" s="44"/>
      <c r="E938" s="44"/>
      <c r="F938" s="44"/>
      <c r="G938" s="44"/>
      <c r="H938" s="44"/>
    </row>
    <row r="939" spans="1:8">
      <c r="A939" s="45"/>
      <c r="B939" s="45"/>
      <c r="C939" s="45"/>
      <c r="D939" s="45"/>
      <c r="E939" s="45"/>
      <c r="F939" s="45"/>
      <c r="G939" s="45"/>
      <c r="H939" s="45"/>
    </row>
    <row r="940" spans="1:8">
      <c r="A940" s="44"/>
      <c r="B940" s="44"/>
      <c r="C940" s="44"/>
      <c r="D940" s="44"/>
      <c r="E940" s="44"/>
      <c r="F940" s="44"/>
      <c r="G940" s="44"/>
      <c r="H940" s="44"/>
    </row>
    <row r="941" spans="1:8">
      <c r="A941" s="45"/>
      <c r="B941" s="45"/>
      <c r="C941" s="45"/>
      <c r="D941" s="45"/>
      <c r="E941" s="45"/>
      <c r="F941" s="45"/>
      <c r="G941" s="45"/>
      <c r="H941" s="45"/>
    </row>
    <row r="942" spans="1:8">
      <c r="A942" s="44"/>
      <c r="B942" s="44"/>
      <c r="C942" s="44"/>
      <c r="D942" s="44"/>
      <c r="E942" s="44"/>
      <c r="F942" s="44"/>
      <c r="G942" s="44"/>
      <c r="H942" s="44"/>
    </row>
    <row r="943" spans="1:8">
      <c r="A943" s="45"/>
      <c r="B943" s="45"/>
      <c r="C943" s="45"/>
      <c r="D943" s="45"/>
      <c r="E943" s="45"/>
      <c r="F943" s="45"/>
      <c r="G943" s="45"/>
      <c r="H943" s="45"/>
    </row>
    <row r="944" spans="1:8">
      <c r="A944" s="44"/>
      <c r="B944" s="44"/>
      <c r="C944" s="44"/>
      <c r="D944" s="44"/>
      <c r="E944" s="44"/>
      <c r="F944" s="44"/>
      <c r="G944" s="44"/>
      <c r="H944" s="44"/>
    </row>
    <row r="945" spans="1:8">
      <c r="A945" s="45"/>
      <c r="B945" s="45"/>
      <c r="C945" s="45"/>
      <c r="D945" s="45"/>
      <c r="E945" s="45"/>
      <c r="F945" s="45"/>
      <c r="G945" s="45"/>
      <c r="H945" s="45"/>
    </row>
    <row r="946" spans="1:8">
      <c r="A946" s="44"/>
      <c r="B946" s="44"/>
      <c r="C946" s="44"/>
      <c r="D946" s="44"/>
      <c r="E946" s="44"/>
      <c r="F946" s="44"/>
      <c r="G946" s="44"/>
      <c r="H946" s="44"/>
    </row>
    <row r="947" spans="1:8">
      <c r="A947" s="45"/>
      <c r="B947" s="45"/>
      <c r="C947" s="45"/>
      <c r="D947" s="45"/>
      <c r="E947" s="45"/>
      <c r="F947" s="45"/>
      <c r="G947" s="45"/>
      <c r="H947" s="45"/>
    </row>
    <row r="948" spans="1:8">
      <c r="A948" s="44"/>
      <c r="B948" s="44"/>
      <c r="C948" s="44"/>
      <c r="D948" s="44"/>
      <c r="E948" s="44"/>
      <c r="F948" s="44"/>
      <c r="G948" s="44"/>
      <c r="H948" s="44"/>
    </row>
    <row r="949" spans="1:8">
      <c r="A949" s="45"/>
      <c r="B949" s="45"/>
      <c r="C949" s="45"/>
      <c r="D949" s="45"/>
      <c r="E949" s="45"/>
      <c r="F949" s="45"/>
      <c r="G949" s="45"/>
      <c r="H949" s="45"/>
    </row>
    <row r="950" spans="1:8">
      <c r="A950" s="44"/>
      <c r="B950" s="44"/>
      <c r="C950" s="44"/>
      <c r="D950" s="44"/>
      <c r="E950" s="44"/>
      <c r="F950" s="44"/>
      <c r="G950" s="44"/>
      <c r="H950" s="44"/>
    </row>
    <row r="951" spans="1:8">
      <c r="A951" s="45"/>
      <c r="B951" s="45"/>
      <c r="C951" s="45"/>
      <c r="D951" s="45"/>
      <c r="E951" s="45"/>
      <c r="F951" s="45"/>
      <c r="G951" s="45"/>
      <c r="H951" s="45"/>
    </row>
    <row r="952" spans="1:8">
      <c r="A952" s="44"/>
      <c r="B952" s="44"/>
      <c r="C952" s="44"/>
      <c r="D952" s="44"/>
      <c r="E952" s="44"/>
      <c r="F952" s="44"/>
      <c r="G952" s="44"/>
      <c r="H952" s="44"/>
    </row>
    <row r="953" spans="1:8">
      <c r="A953" s="45"/>
      <c r="B953" s="45"/>
      <c r="C953" s="45"/>
      <c r="D953" s="45"/>
      <c r="E953" s="45"/>
      <c r="F953" s="45"/>
      <c r="G953" s="45"/>
      <c r="H953" s="45"/>
    </row>
    <row r="954" spans="1:8">
      <c r="A954" s="44"/>
      <c r="B954" s="44"/>
      <c r="C954" s="44"/>
      <c r="D954" s="44"/>
      <c r="E954" s="44"/>
      <c r="F954" s="44"/>
      <c r="G954" s="44"/>
      <c r="H954" s="44"/>
    </row>
    <row r="955" spans="1:8">
      <c r="A955" s="45"/>
      <c r="B955" s="45"/>
      <c r="C955" s="45"/>
      <c r="D955" s="45"/>
      <c r="E955" s="45"/>
      <c r="F955" s="45"/>
      <c r="G955" s="45"/>
      <c r="H955" s="45"/>
    </row>
    <row r="956" spans="1:8">
      <c r="A956" s="44"/>
      <c r="B956" s="44"/>
      <c r="C956" s="44"/>
      <c r="D956" s="44"/>
      <c r="E956" s="44"/>
      <c r="F956" s="44"/>
      <c r="G956" s="44"/>
      <c r="H956" s="44"/>
    </row>
    <row r="957" spans="1:8">
      <c r="A957" s="45"/>
      <c r="B957" s="45"/>
      <c r="C957" s="45"/>
      <c r="D957" s="45"/>
      <c r="E957" s="45"/>
      <c r="F957" s="45"/>
      <c r="G957" s="45"/>
      <c r="H957" s="45"/>
    </row>
    <row r="958" spans="1:8">
      <c r="A958" s="44"/>
      <c r="B958" s="44"/>
      <c r="C958" s="44"/>
      <c r="D958" s="44"/>
      <c r="E958" s="44"/>
      <c r="F958" s="44"/>
      <c r="G958" s="44"/>
      <c r="H958" s="44"/>
    </row>
    <row r="959" spans="1:8">
      <c r="A959" s="45"/>
      <c r="B959" s="45"/>
      <c r="C959" s="45"/>
      <c r="D959" s="45"/>
      <c r="E959" s="45"/>
      <c r="F959" s="45"/>
      <c r="G959" s="45"/>
      <c r="H959" s="45"/>
    </row>
    <row r="960" spans="1:8">
      <c r="A960" s="44"/>
      <c r="B960" s="44"/>
      <c r="C960" s="44"/>
      <c r="D960" s="44"/>
      <c r="E960" s="44"/>
      <c r="F960" s="44"/>
      <c r="G960" s="44"/>
      <c r="H960" s="44"/>
    </row>
    <row r="961" spans="1:8">
      <c r="A961" s="45"/>
      <c r="B961" s="45"/>
      <c r="C961" s="45"/>
      <c r="D961" s="45"/>
      <c r="E961" s="45"/>
      <c r="F961" s="45"/>
      <c r="G961" s="45"/>
      <c r="H961" s="45"/>
    </row>
    <row r="962" spans="1:8">
      <c r="A962" s="44"/>
      <c r="B962" s="44"/>
      <c r="C962" s="44"/>
      <c r="D962" s="44"/>
      <c r="E962" s="44"/>
      <c r="F962" s="44"/>
      <c r="G962" s="44"/>
      <c r="H962" s="44"/>
    </row>
    <row r="963" spans="1:8">
      <c r="A963" s="45"/>
      <c r="B963" s="45"/>
      <c r="C963" s="45"/>
      <c r="D963" s="45"/>
      <c r="E963" s="45"/>
      <c r="F963" s="45"/>
      <c r="G963" s="45"/>
      <c r="H963" s="45"/>
    </row>
    <row r="964" spans="1:8">
      <c r="A964" s="44"/>
      <c r="B964" s="44"/>
      <c r="C964" s="44"/>
      <c r="D964" s="44"/>
      <c r="E964" s="44"/>
      <c r="F964" s="44"/>
      <c r="G964" s="44"/>
      <c r="H964" s="44"/>
    </row>
    <row r="965" spans="1:8">
      <c r="A965" s="45"/>
      <c r="B965" s="45"/>
      <c r="C965" s="45"/>
      <c r="D965" s="45"/>
      <c r="E965" s="45"/>
      <c r="F965" s="45"/>
      <c r="G965" s="45"/>
      <c r="H965" s="45"/>
    </row>
    <row r="966" spans="1:8">
      <c r="A966" s="44"/>
      <c r="B966" s="44"/>
      <c r="C966" s="44"/>
      <c r="D966" s="44"/>
      <c r="E966" s="44"/>
      <c r="F966" s="44"/>
      <c r="G966" s="44"/>
      <c r="H966" s="44"/>
    </row>
    <row r="967" spans="1:8">
      <c r="A967" s="45"/>
      <c r="B967" s="45"/>
      <c r="C967" s="45"/>
      <c r="D967" s="45"/>
      <c r="E967" s="45"/>
      <c r="F967" s="45"/>
      <c r="G967" s="45"/>
      <c r="H967" s="45"/>
    </row>
    <row r="968" spans="1:8">
      <c r="A968" s="44"/>
      <c r="B968" s="44"/>
      <c r="C968" s="44"/>
      <c r="D968" s="44"/>
      <c r="E968" s="44"/>
      <c r="F968" s="44"/>
      <c r="G968" s="44"/>
      <c r="H968" s="44"/>
    </row>
    <row r="969" spans="1:8">
      <c r="A969" s="45"/>
      <c r="B969" s="45"/>
      <c r="C969" s="45"/>
      <c r="D969" s="45"/>
      <c r="E969" s="45"/>
      <c r="F969" s="45"/>
      <c r="G969" s="45"/>
      <c r="H969" s="45"/>
    </row>
    <row r="970" spans="1:8">
      <c r="A970" s="44"/>
      <c r="B970" s="44"/>
      <c r="C970" s="44"/>
      <c r="D970" s="44"/>
      <c r="E970" s="44"/>
      <c r="F970" s="44"/>
      <c r="G970" s="44"/>
      <c r="H970" s="44"/>
    </row>
    <row r="971" spans="1:8">
      <c r="A971" s="45"/>
      <c r="B971" s="45"/>
      <c r="C971" s="45"/>
      <c r="D971" s="45"/>
      <c r="E971" s="45"/>
      <c r="F971" s="45"/>
      <c r="G971" s="45"/>
      <c r="H971" s="45"/>
    </row>
    <row r="972" spans="1:8">
      <c r="A972" s="44"/>
      <c r="B972" s="44"/>
      <c r="C972" s="44"/>
      <c r="D972" s="44"/>
      <c r="E972" s="44"/>
      <c r="F972" s="44"/>
      <c r="G972" s="44"/>
      <c r="H972" s="44"/>
    </row>
    <row r="973" spans="1:8">
      <c r="A973" s="45"/>
      <c r="B973" s="45"/>
      <c r="C973" s="45"/>
      <c r="D973" s="45"/>
      <c r="E973" s="45"/>
      <c r="F973" s="45"/>
      <c r="G973" s="45"/>
      <c r="H973" s="45"/>
    </row>
    <row r="974" spans="1:8">
      <c r="A974" s="44"/>
      <c r="B974" s="44"/>
      <c r="C974" s="44"/>
      <c r="D974" s="44"/>
      <c r="E974" s="44"/>
      <c r="F974" s="44"/>
      <c r="G974" s="44"/>
      <c r="H974" s="44"/>
    </row>
    <row r="975" spans="1:8">
      <c r="A975" s="45"/>
      <c r="B975" s="45"/>
      <c r="C975" s="45"/>
      <c r="D975" s="45"/>
      <c r="E975" s="45"/>
      <c r="F975" s="45"/>
      <c r="G975" s="45"/>
      <c r="H975" s="45"/>
    </row>
    <row r="976" spans="1:8">
      <c r="A976" s="44"/>
      <c r="B976" s="44"/>
      <c r="C976" s="44"/>
      <c r="D976" s="44"/>
      <c r="E976" s="44"/>
      <c r="F976" s="44"/>
      <c r="G976" s="44"/>
      <c r="H976" s="44"/>
    </row>
    <row r="977" spans="1:8">
      <c r="A977" s="45"/>
      <c r="B977" s="45"/>
      <c r="C977" s="45"/>
      <c r="D977" s="45"/>
      <c r="E977" s="45"/>
      <c r="F977" s="45"/>
      <c r="G977" s="45"/>
      <c r="H977" s="45"/>
    </row>
    <row r="978" spans="1:8">
      <c r="A978" s="44"/>
      <c r="B978" s="44"/>
      <c r="C978" s="44"/>
      <c r="D978" s="44"/>
      <c r="E978" s="44"/>
      <c r="F978" s="44"/>
      <c r="G978" s="44"/>
      <c r="H978" s="44"/>
    </row>
    <row r="979" spans="1:8">
      <c r="A979" s="45"/>
      <c r="B979" s="45"/>
      <c r="C979" s="45"/>
      <c r="D979" s="45"/>
      <c r="E979" s="45"/>
      <c r="F979" s="45"/>
      <c r="G979" s="45"/>
      <c r="H979" s="45"/>
    </row>
    <row r="980" spans="1:8">
      <c r="A980" s="44"/>
      <c r="B980" s="44"/>
      <c r="C980" s="44"/>
      <c r="D980" s="44"/>
      <c r="E980" s="44"/>
      <c r="F980" s="44"/>
      <c r="G980" s="44"/>
      <c r="H980" s="44"/>
    </row>
    <row r="981" spans="1:8">
      <c r="A981" s="45"/>
      <c r="B981" s="45"/>
      <c r="C981" s="45"/>
      <c r="D981" s="45"/>
      <c r="E981" s="45"/>
      <c r="F981" s="45"/>
      <c r="G981" s="45"/>
      <c r="H981" s="45"/>
    </row>
    <row r="982" spans="1:8">
      <c r="A982" s="44"/>
      <c r="B982" s="44"/>
      <c r="C982" s="44"/>
      <c r="D982" s="44"/>
      <c r="E982" s="44"/>
      <c r="F982" s="44"/>
      <c r="G982" s="44"/>
      <c r="H982" s="44"/>
    </row>
    <row r="983" spans="1:8">
      <c r="A983" s="45"/>
      <c r="B983" s="45"/>
      <c r="C983" s="45"/>
      <c r="D983" s="45"/>
      <c r="E983" s="45"/>
      <c r="F983" s="45"/>
      <c r="G983" s="45"/>
      <c r="H983" s="45"/>
    </row>
    <row r="984" spans="1:8">
      <c r="A984" s="44"/>
      <c r="B984" s="44"/>
      <c r="C984" s="44"/>
      <c r="D984" s="44"/>
      <c r="E984" s="44"/>
      <c r="F984" s="44"/>
      <c r="G984" s="44"/>
      <c r="H984" s="44"/>
    </row>
    <row r="985" spans="1:8">
      <c r="A985" s="45"/>
      <c r="B985" s="45"/>
      <c r="C985" s="45"/>
      <c r="D985" s="45"/>
      <c r="E985" s="45"/>
      <c r="F985" s="45"/>
      <c r="G985" s="45"/>
      <c r="H985" s="45"/>
    </row>
    <row r="986" spans="1:8">
      <c r="A986" s="44"/>
      <c r="B986" s="44"/>
      <c r="C986" s="44"/>
      <c r="D986" s="44"/>
      <c r="E986" s="44"/>
      <c r="F986" s="44"/>
      <c r="G986" s="44"/>
      <c r="H986" s="44"/>
    </row>
    <row r="987" spans="1:8">
      <c r="A987" s="45"/>
      <c r="B987" s="45"/>
      <c r="C987" s="45"/>
      <c r="D987" s="45"/>
      <c r="E987" s="45"/>
      <c r="F987" s="45"/>
      <c r="G987" s="45"/>
      <c r="H987" s="45"/>
    </row>
    <row r="988" spans="1:8">
      <c r="A988" s="44"/>
      <c r="B988" s="44"/>
      <c r="C988" s="44"/>
      <c r="D988" s="44"/>
      <c r="E988" s="44"/>
      <c r="F988" s="44"/>
      <c r="G988" s="44"/>
      <c r="H988" s="44"/>
    </row>
    <row r="989" spans="1:8">
      <c r="A989" s="45"/>
      <c r="B989" s="45"/>
      <c r="C989" s="45"/>
      <c r="D989" s="45"/>
      <c r="E989" s="45"/>
      <c r="F989" s="45"/>
      <c r="G989" s="45"/>
      <c r="H989" s="45"/>
    </row>
    <row r="990" spans="1:8">
      <c r="A990" s="44"/>
      <c r="B990" s="44"/>
      <c r="C990" s="44"/>
      <c r="D990" s="44"/>
      <c r="E990" s="44"/>
      <c r="F990" s="44"/>
      <c r="G990" s="44"/>
      <c r="H990" s="44"/>
    </row>
    <row r="991" spans="1:8">
      <c r="A991" s="45"/>
      <c r="B991" s="45"/>
      <c r="C991" s="45"/>
      <c r="D991" s="45"/>
      <c r="E991" s="45"/>
      <c r="F991" s="45"/>
      <c r="G991" s="45"/>
      <c r="H991" s="45"/>
    </row>
    <row r="992" spans="1:8">
      <c r="A992" s="44"/>
      <c r="B992" s="44"/>
      <c r="C992" s="44"/>
      <c r="D992" s="44"/>
      <c r="E992" s="44"/>
      <c r="F992" s="44"/>
      <c r="G992" s="44"/>
      <c r="H992" s="44"/>
    </row>
    <row r="993" spans="1:8">
      <c r="A993" s="45"/>
      <c r="B993" s="45"/>
      <c r="C993" s="45"/>
      <c r="D993" s="45"/>
      <c r="E993" s="45"/>
      <c r="F993" s="45"/>
      <c r="G993" s="45"/>
      <c r="H993" s="45"/>
    </row>
    <row r="994" spans="1:8">
      <c r="A994" s="44"/>
      <c r="B994" s="44"/>
      <c r="C994" s="44"/>
      <c r="D994" s="44"/>
      <c r="E994" s="44"/>
      <c r="F994" s="44"/>
      <c r="G994" s="44"/>
      <c r="H994" s="44"/>
    </row>
    <row r="995" spans="1:8">
      <c r="A995" s="45"/>
      <c r="B995" s="45"/>
      <c r="C995" s="45"/>
      <c r="D995" s="45"/>
      <c r="E995" s="45"/>
      <c r="F995" s="45"/>
      <c r="G995" s="45"/>
      <c r="H995" s="45"/>
    </row>
    <row r="996" spans="1:8">
      <c r="A996" s="44"/>
      <c r="B996" s="44"/>
      <c r="C996" s="44"/>
      <c r="D996" s="44"/>
      <c r="E996" s="44"/>
      <c r="F996" s="44"/>
      <c r="G996" s="44"/>
      <c r="H996" s="44"/>
    </row>
    <row r="997" spans="1:8">
      <c r="A997" s="45"/>
      <c r="B997" s="45"/>
      <c r="C997" s="45"/>
      <c r="D997" s="45"/>
      <c r="E997" s="45"/>
      <c r="F997" s="45"/>
      <c r="G997" s="45"/>
      <c r="H997" s="45"/>
    </row>
    <row r="998" spans="1:8">
      <c r="A998" s="44"/>
      <c r="B998" s="44"/>
      <c r="C998" s="44"/>
      <c r="D998" s="44"/>
      <c r="E998" s="44"/>
      <c r="F998" s="44"/>
      <c r="G998" s="44"/>
      <c r="H998" s="44"/>
    </row>
    <row r="999" spans="1:8">
      <c r="A999" s="45"/>
      <c r="B999" s="45"/>
      <c r="C999" s="45"/>
      <c r="D999" s="45"/>
      <c r="E999" s="45"/>
      <c r="F999" s="45"/>
      <c r="G999" s="45"/>
      <c r="H999" s="45"/>
    </row>
    <row r="1000" spans="1:8">
      <c r="A1000" s="44"/>
      <c r="B1000" s="44"/>
      <c r="C1000" s="44"/>
      <c r="D1000" s="44"/>
      <c r="E1000" s="44"/>
      <c r="F1000" s="44"/>
      <c r="G1000" s="44"/>
      <c r="H1000" s="44"/>
    </row>
    <row r="1001" spans="1:8">
      <c r="A1001" s="45"/>
      <c r="B1001" s="45"/>
      <c r="C1001" s="45"/>
      <c r="D1001" s="45"/>
      <c r="E1001" s="45"/>
      <c r="F1001" s="45"/>
      <c r="G1001" s="45"/>
      <c r="H1001" s="45"/>
    </row>
    <row r="1002" spans="1:8">
      <c r="A1002" s="44"/>
      <c r="B1002" s="44"/>
      <c r="C1002" s="44"/>
      <c r="D1002" s="44"/>
      <c r="E1002" s="44"/>
      <c r="F1002" s="44"/>
      <c r="G1002" s="44"/>
      <c r="H1002" s="44"/>
    </row>
    <row r="1003" spans="1:8">
      <c r="A1003" s="45"/>
      <c r="B1003" s="45"/>
      <c r="C1003" s="45"/>
      <c r="D1003" s="45"/>
      <c r="E1003" s="45"/>
      <c r="F1003" s="45"/>
      <c r="G1003" s="45"/>
      <c r="H1003" s="45"/>
    </row>
    <row r="1004" spans="1:8">
      <c r="A1004" s="44"/>
      <c r="B1004" s="44"/>
      <c r="C1004" s="44"/>
      <c r="D1004" s="44"/>
      <c r="E1004" s="44"/>
      <c r="F1004" s="44"/>
      <c r="G1004" s="44"/>
      <c r="H1004" s="44"/>
    </row>
    <row r="1005" spans="1:8">
      <c r="A1005" s="45"/>
      <c r="B1005" s="45"/>
      <c r="C1005" s="45"/>
      <c r="D1005" s="45"/>
      <c r="E1005" s="45"/>
      <c r="F1005" s="45"/>
      <c r="G1005" s="45"/>
      <c r="H1005" s="45"/>
    </row>
    <row r="1006" spans="1:8">
      <c r="A1006" s="44"/>
      <c r="B1006" s="44"/>
      <c r="C1006" s="44"/>
      <c r="D1006" s="44"/>
      <c r="E1006" s="44"/>
      <c r="F1006" s="44"/>
      <c r="G1006" s="44"/>
      <c r="H1006" s="44"/>
    </row>
    <row r="1007" spans="1:8">
      <c r="A1007" s="45"/>
      <c r="B1007" s="45"/>
      <c r="C1007" s="45"/>
      <c r="D1007" s="45"/>
      <c r="E1007" s="45"/>
      <c r="F1007" s="45"/>
      <c r="G1007" s="45"/>
      <c r="H1007" s="45"/>
    </row>
    <row r="1008" spans="1:8">
      <c r="A1008" s="44"/>
      <c r="B1008" s="44"/>
      <c r="C1008" s="44"/>
      <c r="D1008" s="44"/>
      <c r="E1008" s="44"/>
      <c r="F1008" s="44"/>
      <c r="G1008" s="44"/>
      <c r="H1008" s="44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50284-4F20-8945-B78F-7B154EC1A34D}">
  <dimension ref="A1:L1008"/>
  <sheetViews>
    <sheetView workbookViewId="0">
      <selection activeCell="A194" sqref="A194"/>
    </sheetView>
  </sheetViews>
  <sheetFormatPr defaultColWidth="10.83984375" defaultRowHeight="14.4"/>
  <cols>
    <col min="1" max="1" width="11.83984375" style="42" bestFit="1" customWidth="1"/>
    <col min="2" max="16384" width="10.83984375" style="42"/>
  </cols>
  <sheetData>
    <row r="1" spans="1:12">
      <c r="A1" s="41" t="s">
        <v>256</v>
      </c>
      <c r="B1" s="41" t="s">
        <v>252</v>
      </c>
      <c r="G1" s="43" t="s">
        <v>262</v>
      </c>
    </row>
    <row r="3" spans="1:12">
      <c r="A3" s="43" t="s">
        <v>257</v>
      </c>
    </row>
    <row r="4" spans="1:12">
      <c r="A4" s="44" t="s">
        <v>86</v>
      </c>
      <c r="B4" s="44" t="s">
        <v>263</v>
      </c>
      <c r="C4" s="44" t="s">
        <v>264</v>
      </c>
      <c r="D4" s="44" t="s">
        <v>265</v>
      </c>
      <c r="E4" s="44"/>
      <c r="F4" s="44"/>
      <c r="G4" s="44"/>
      <c r="H4" s="44"/>
      <c r="I4" s="44"/>
      <c r="J4" s="44"/>
      <c r="K4" s="44"/>
      <c r="L4" s="44"/>
    </row>
    <row r="5" spans="1:12">
      <c r="A5" s="43" t="s">
        <v>258</v>
      </c>
    </row>
    <row r="6" spans="1:12">
      <c r="A6" s="46" t="s">
        <v>259</v>
      </c>
      <c r="B6" s="45" t="s">
        <v>260</v>
      </c>
      <c r="C6" s="45" t="s">
        <v>261</v>
      </c>
      <c r="D6" s="45"/>
      <c r="E6" s="45"/>
      <c r="F6" s="45"/>
      <c r="G6" s="45"/>
      <c r="H6" s="45"/>
      <c r="I6" s="45"/>
      <c r="J6" s="45"/>
      <c r="K6" s="45"/>
      <c r="L6" s="45"/>
    </row>
    <row r="8" spans="1:12">
      <c r="A8" s="41" t="s">
        <v>86</v>
      </c>
      <c r="B8" s="41" t="s">
        <v>263</v>
      </c>
      <c r="C8" s="41" t="s">
        <v>264</v>
      </c>
      <c r="D8" s="41" t="s">
        <v>265</v>
      </c>
      <c r="E8" s="41" t="s">
        <v>252</v>
      </c>
      <c r="F8" s="41" t="s">
        <v>259</v>
      </c>
      <c r="G8" s="41" t="s">
        <v>260</v>
      </c>
      <c r="H8" s="41" t="s">
        <v>261</v>
      </c>
      <c r="J8" s="43" t="s">
        <v>266</v>
      </c>
    </row>
    <row r="9" spans="1:12">
      <c r="A9" s="45">
        <v>2014</v>
      </c>
      <c r="B9" s="45" t="s">
        <v>103</v>
      </c>
      <c r="C9" s="45" t="s">
        <v>44</v>
      </c>
      <c r="D9" s="45" t="s">
        <v>288</v>
      </c>
      <c r="E9" s="49">
        <v>4944.2640000000001</v>
      </c>
      <c r="F9" s="45"/>
      <c r="G9" s="45"/>
      <c r="H9" s="45">
        <v>760</v>
      </c>
    </row>
    <row r="10" spans="1:12">
      <c r="A10" s="44">
        <v>2015</v>
      </c>
      <c r="B10" s="44" t="s">
        <v>103</v>
      </c>
      <c r="C10" s="44" t="s">
        <v>44</v>
      </c>
      <c r="D10" s="44" t="s">
        <v>288</v>
      </c>
      <c r="E10" s="50">
        <v>5189.1450000000004</v>
      </c>
      <c r="F10" s="44"/>
      <c r="G10" s="44"/>
      <c r="H10" s="44">
        <v>798</v>
      </c>
    </row>
    <row r="11" spans="1:12">
      <c r="A11" s="45">
        <v>2016</v>
      </c>
      <c r="B11" s="45" t="s">
        <v>103</v>
      </c>
      <c r="C11" s="45" t="s">
        <v>44</v>
      </c>
      <c r="D11" s="45" t="s">
        <v>288</v>
      </c>
      <c r="E11" s="49">
        <v>5219.058</v>
      </c>
      <c r="F11" s="45"/>
      <c r="G11" s="45"/>
      <c r="H11" s="45">
        <v>802</v>
      </c>
    </row>
    <row r="12" spans="1:12">
      <c r="A12" s="44">
        <v>2017</v>
      </c>
      <c r="B12" s="44" t="s">
        <v>103</v>
      </c>
      <c r="C12" s="44" t="s">
        <v>44</v>
      </c>
      <c r="D12" s="44" t="s">
        <v>288</v>
      </c>
      <c r="E12" s="50">
        <v>4220.268</v>
      </c>
      <c r="F12" s="44"/>
      <c r="G12" s="44"/>
      <c r="H12" s="44">
        <v>648</v>
      </c>
    </row>
    <row r="13" spans="1:12">
      <c r="A13" s="45">
        <v>2014</v>
      </c>
      <c r="B13" s="45" t="s">
        <v>103</v>
      </c>
      <c r="C13" s="45" t="s">
        <v>44</v>
      </c>
      <c r="D13" s="45" t="s">
        <v>289</v>
      </c>
      <c r="E13" s="45">
        <v>51956</v>
      </c>
      <c r="F13" s="45"/>
      <c r="G13" s="45"/>
      <c r="H13" s="49">
        <v>7991</v>
      </c>
    </row>
    <row r="14" spans="1:12">
      <c r="A14" s="44">
        <v>2015</v>
      </c>
      <c r="B14" s="44" t="s">
        <v>103</v>
      </c>
      <c r="C14" s="44" t="s">
        <v>44</v>
      </c>
      <c r="D14" s="44" t="s">
        <v>289</v>
      </c>
      <c r="E14" s="44">
        <v>58546</v>
      </c>
      <c r="F14" s="44"/>
      <c r="G14" s="44"/>
      <c r="H14" s="50">
        <v>9004</v>
      </c>
    </row>
    <row r="15" spans="1:12">
      <c r="A15" s="45">
        <v>2016</v>
      </c>
      <c r="B15" s="45" t="s">
        <v>103</v>
      </c>
      <c r="C15" s="45" t="s">
        <v>44</v>
      </c>
      <c r="D15" s="45" t="s">
        <v>289</v>
      </c>
      <c r="E15" s="45">
        <v>60639</v>
      </c>
      <c r="F15" s="45"/>
      <c r="G15" s="45"/>
      <c r="H15" s="49">
        <v>9326.5</v>
      </c>
    </row>
    <row r="16" spans="1:12">
      <c r="A16" s="44">
        <v>2017</v>
      </c>
      <c r="B16" s="44" t="s">
        <v>103</v>
      </c>
      <c r="C16" s="44" t="s">
        <v>44</v>
      </c>
      <c r="D16" s="44" t="s">
        <v>289</v>
      </c>
      <c r="E16" s="44">
        <v>63246</v>
      </c>
      <c r="F16" s="44"/>
      <c r="G16" s="44"/>
      <c r="H16" s="50">
        <v>9727.5</v>
      </c>
    </row>
    <row r="17" spans="1:8">
      <c r="A17" s="45">
        <v>2014</v>
      </c>
      <c r="B17" s="45" t="s">
        <v>103</v>
      </c>
      <c r="C17" s="45" t="s">
        <v>43</v>
      </c>
      <c r="D17" s="45" t="s">
        <v>288</v>
      </c>
      <c r="E17" s="49">
        <v>4807.7359999999999</v>
      </c>
      <c r="F17" s="45"/>
      <c r="G17" s="45"/>
      <c r="H17" s="49">
        <v>739</v>
      </c>
    </row>
    <row r="18" spans="1:8">
      <c r="A18" s="44">
        <v>2015</v>
      </c>
      <c r="B18" s="44" t="s">
        <v>103</v>
      </c>
      <c r="C18" s="44" t="s">
        <v>43</v>
      </c>
      <c r="D18" s="44" t="s">
        <v>288</v>
      </c>
      <c r="E18" s="50">
        <v>5045.8549999999996</v>
      </c>
      <c r="F18" s="44"/>
      <c r="G18" s="44"/>
      <c r="H18" s="50">
        <v>776</v>
      </c>
    </row>
    <row r="19" spans="1:8">
      <c r="A19" s="45">
        <v>2016</v>
      </c>
      <c r="B19" s="45" t="s">
        <v>103</v>
      </c>
      <c r="C19" s="45" t="s">
        <v>43</v>
      </c>
      <c r="D19" s="45" t="s">
        <v>288</v>
      </c>
      <c r="E19" s="49">
        <v>5074.942</v>
      </c>
      <c r="F19" s="45"/>
      <c r="G19" s="45"/>
      <c r="H19" s="49">
        <v>780</v>
      </c>
    </row>
    <row r="20" spans="1:8">
      <c r="A20" s="44">
        <v>2017</v>
      </c>
      <c r="B20" s="44" t="s">
        <v>103</v>
      </c>
      <c r="C20" s="44" t="s">
        <v>43</v>
      </c>
      <c r="D20" s="44" t="s">
        <v>288</v>
      </c>
      <c r="E20" s="50">
        <v>4103.732</v>
      </c>
      <c r="F20" s="44"/>
      <c r="G20" s="44"/>
      <c r="H20" s="50">
        <v>631</v>
      </c>
    </row>
    <row r="21" spans="1:8">
      <c r="A21" s="45">
        <v>2014</v>
      </c>
      <c r="B21" s="45" t="s">
        <v>103</v>
      </c>
      <c r="C21" s="45" t="s">
        <v>43</v>
      </c>
      <c r="D21" s="45" t="s">
        <v>289</v>
      </c>
      <c r="E21" s="45">
        <v>80016</v>
      </c>
      <c r="F21" s="45"/>
      <c r="G21" s="45"/>
      <c r="H21" s="49">
        <v>12306</v>
      </c>
    </row>
    <row r="22" spans="1:8">
      <c r="A22" s="44">
        <v>2015</v>
      </c>
      <c r="B22" s="44" t="s">
        <v>103</v>
      </c>
      <c r="C22" s="44" t="s">
        <v>43</v>
      </c>
      <c r="D22" s="44" t="s">
        <v>289</v>
      </c>
      <c r="E22" s="44">
        <v>90039</v>
      </c>
      <c r="F22" s="44"/>
      <c r="G22" s="44"/>
      <c r="H22" s="50">
        <v>13848</v>
      </c>
    </row>
    <row r="23" spans="1:8">
      <c r="A23" s="45">
        <v>2016</v>
      </c>
      <c r="B23" s="45" t="s">
        <v>103</v>
      </c>
      <c r="C23" s="45" t="s">
        <v>43</v>
      </c>
      <c r="D23" s="45" t="s">
        <v>289</v>
      </c>
      <c r="E23" s="45">
        <v>96709</v>
      </c>
      <c r="F23" s="45"/>
      <c r="G23" s="45"/>
      <c r="H23" s="49">
        <v>14873.5</v>
      </c>
    </row>
    <row r="24" spans="1:8">
      <c r="A24" s="44">
        <v>2017</v>
      </c>
      <c r="B24" s="44" t="s">
        <v>103</v>
      </c>
      <c r="C24" s="44" t="s">
        <v>43</v>
      </c>
      <c r="D24" s="44" t="s">
        <v>289</v>
      </c>
      <c r="E24" s="44">
        <v>103121</v>
      </c>
      <c r="F24" s="44"/>
      <c r="G24" s="44"/>
      <c r="H24" s="50">
        <v>15860</v>
      </c>
    </row>
    <row r="25" spans="1:8">
      <c r="A25" s="45"/>
      <c r="B25" s="45"/>
      <c r="C25" s="45"/>
      <c r="D25" s="45"/>
      <c r="E25" s="45"/>
      <c r="F25" s="45"/>
      <c r="G25" s="45"/>
      <c r="H25" s="49"/>
    </row>
    <row r="26" spans="1:8">
      <c r="A26" s="44"/>
      <c r="B26" s="44"/>
      <c r="C26" s="44"/>
      <c r="D26" s="44"/>
      <c r="E26" s="44"/>
      <c r="F26" s="44"/>
      <c r="G26" s="44"/>
      <c r="H26" s="50"/>
    </row>
    <row r="27" spans="1:8">
      <c r="A27" s="45">
        <v>2014</v>
      </c>
      <c r="B27" s="45" t="s">
        <v>102</v>
      </c>
      <c r="C27" s="45" t="s">
        <v>44</v>
      </c>
      <c r="D27" s="45" t="s">
        <v>288</v>
      </c>
      <c r="E27" s="49">
        <v>1819.623</v>
      </c>
      <c r="F27" s="45"/>
      <c r="G27" s="45"/>
      <c r="H27" s="49">
        <v>279</v>
      </c>
    </row>
    <row r="28" spans="1:8">
      <c r="A28" s="44">
        <v>2015</v>
      </c>
      <c r="B28" s="44" t="s">
        <v>102</v>
      </c>
      <c r="C28" s="44" t="s">
        <v>44</v>
      </c>
      <c r="D28" s="44" t="s">
        <v>288</v>
      </c>
      <c r="E28" s="50">
        <v>2345.8890000000001</v>
      </c>
      <c r="F28" s="44"/>
      <c r="G28" s="44"/>
      <c r="H28" s="50">
        <v>360</v>
      </c>
    </row>
    <row r="29" spans="1:8">
      <c r="A29" s="45">
        <v>2016</v>
      </c>
      <c r="B29" s="45" t="s">
        <v>102</v>
      </c>
      <c r="C29" s="45" t="s">
        <v>44</v>
      </c>
      <c r="D29" s="45" t="s">
        <v>288</v>
      </c>
      <c r="E29" s="49">
        <v>2638.4279999999999</v>
      </c>
      <c r="F29" s="45"/>
      <c r="G29" s="45"/>
      <c r="H29" s="49">
        <v>405</v>
      </c>
    </row>
    <row r="30" spans="1:8">
      <c r="A30" s="44">
        <v>2017</v>
      </c>
      <c r="B30" s="44" t="s">
        <v>102</v>
      </c>
      <c r="C30" s="44" t="s">
        <v>44</v>
      </c>
      <c r="D30" s="44" t="s">
        <v>288</v>
      </c>
      <c r="E30" s="50">
        <v>3017.6640000000002</v>
      </c>
      <c r="F30" s="44"/>
      <c r="G30" s="44"/>
      <c r="H30" s="50">
        <v>464</v>
      </c>
    </row>
    <row r="31" spans="1:8">
      <c r="A31" s="45">
        <v>2014</v>
      </c>
      <c r="B31" s="45" t="s">
        <v>102</v>
      </c>
      <c r="C31" s="45" t="s">
        <v>44</v>
      </c>
      <c r="D31" s="45" t="s">
        <v>289</v>
      </c>
      <c r="E31" s="51">
        <v>24430</v>
      </c>
      <c r="F31" s="45"/>
      <c r="G31" s="45"/>
      <c r="H31" s="49">
        <v>3757</v>
      </c>
    </row>
    <row r="32" spans="1:8">
      <c r="A32" s="44">
        <v>2015</v>
      </c>
      <c r="B32" s="44" t="s">
        <v>102</v>
      </c>
      <c r="C32" s="44" t="s">
        <v>44</v>
      </c>
      <c r="D32" s="44" t="s">
        <v>289</v>
      </c>
      <c r="E32" s="52">
        <v>31089</v>
      </c>
      <c r="F32" s="44"/>
      <c r="G32" s="44"/>
      <c r="H32" s="50">
        <v>4781</v>
      </c>
    </row>
    <row r="33" spans="1:8">
      <c r="A33" s="45">
        <v>2016</v>
      </c>
      <c r="B33" s="45" t="s">
        <v>102</v>
      </c>
      <c r="C33" s="45" t="s">
        <v>44</v>
      </c>
      <c r="D33" s="45" t="s">
        <v>289</v>
      </c>
      <c r="E33" s="51">
        <v>35360</v>
      </c>
      <c r="F33" s="45"/>
      <c r="G33" s="45"/>
      <c r="H33" s="49">
        <v>5438</v>
      </c>
    </row>
    <row r="34" spans="1:8">
      <c r="A34" s="44">
        <v>2017</v>
      </c>
      <c r="B34" s="44" t="s">
        <v>102</v>
      </c>
      <c r="C34" s="44" t="s">
        <v>44</v>
      </c>
      <c r="D34" s="44" t="s">
        <v>289</v>
      </c>
      <c r="E34" s="52">
        <v>41444</v>
      </c>
      <c r="F34" s="44"/>
      <c r="G34" s="44"/>
      <c r="H34" s="50">
        <v>6374</v>
      </c>
    </row>
    <row r="35" spans="1:8">
      <c r="A35" s="45">
        <v>2014</v>
      </c>
      <c r="B35" s="45" t="s">
        <v>102</v>
      </c>
      <c r="C35" s="45" t="s">
        <v>43</v>
      </c>
      <c r="D35" s="45" t="s">
        <v>288</v>
      </c>
      <c r="E35" s="49">
        <v>1769.377</v>
      </c>
      <c r="F35" s="45"/>
      <c r="G35" s="45"/>
      <c r="H35" s="49">
        <v>272</v>
      </c>
    </row>
    <row r="36" spans="1:8">
      <c r="A36" s="44">
        <v>2015</v>
      </c>
      <c r="B36" s="44" t="s">
        <v>102</v>
      </c>
      <c r="C36" s="44" t="s">
        <v>43</v>
      </c>
      <c r="D36" s="44" t="s">
        <v>288</v>
      </c>
      <c r="E36" s="50">
        <v>2281.1109999999999</v>
      </c>
      <c r="F36" s="44"/>
      <c r="G36" s="44"/>
      <c r="H36" s="50">
        <v>350</v>
      </c>
    </row>
    <row r="37" spans="1:8">
      <c r="A37" s="45">
        <v>2016</v>
      </c>
      <c r="B37" s="45" t="s">
        <v>102</v>
      </c>
      <c r="C37" s="45" t="s">
        <v>43</v>
      </c>
      <c r="D37" s="45" t="s">
        <v>288</v>
      </c>
      <c r="E37" s="49">
        <v>2565.5720000000001</v>
      </c>
      <c r="F37" s="45"/>
      <c r="G37" s="45"/>
      <c r="H37" s="49">
        <v>394</v>
      </c>
    </row>
    <row r="38" spans="1:8">
      <c r="A38" s="44">
        <v>2017</v>
      </c>
      <c r="B38" s="44" t="s">
        <v>102</v>
      </c>
      <c r="C38" s="44" t="s">
        <v>43</v>
      </c>
      <c r="D38" s="44" t="s">
        <v>288</v>
      </c>
      <c r="E38" s="50">
        <v>2934.3359999999998</v>
      </c>
      <c r="F38" s="44"/>
      <c r="G38" s="44"/>
      <c r="H38" s="50">
        <v>451</v>
      </c>
    </row>
    <row r="39" spans="1:8">
      <c r="A39" s="45">
        <v>2014</v>
      </c>
      <c r="B39" s="45" t="s">
        <v>102</v>
      </c>
      <c r="C39" s="45" t="s">
        <v>43</v>
      </c>
      <c r="D39" s="45" t="s">
        <v>289</v>
      </c>
      <c r="E39" s="49">
        <v>35049</v>
      </c>
      <c r="F39" s="45"/>
      <c r="G39" s="45"/>
      <c r="H39" s="49">
        <v>5390</v>
      </c>
    </row>
    <row r="40" spans="1:8">
      <c r="A40" s="44">
        <v>2015</v>
      </c>
      <c r="B40" s="44" t="s">
        <v>102</v>
      </c>
      <c r="C40" s="44" t="s">
        <v>43</v>
      </c>
      <c r="D40" s="44" t="s">
        <v>289</v>
      </c>
      <c r="E40" s="50">
        <v>46551</v>
      </c>
      <c r="F40" s="44"/>
      <c r="G40" s="44"/>
      <c r="H40" s="50">
        <v>7159</v>
      </c>
    </row>
    <row r="41" spans="1:8">
      <c r="A41" s="45">
        <v>2016</v>
      </c>
      <c r="B41" s="45" t="s">
        <v>102</v>
      </c>
      <c r="C41" s="45" t="s">
        <v>43</v>
      </c>
      <c r="D41" s="45" t="s">
        <v>289</v>
      </c>
      <c r="E41" s="49">
        <v>50222</v>
      </c>
      <c r="F41" s="45"/>
      <c r="G41" s="45"/>
      <c r="H41" s="49">
        <v>7724</v>
      </c>
    </row>
    <row r="42" spans="1:8">
      <c r="A42" s="44">
        <v>2017</v>
      </c>
      <c r="B42" s="44" t="s">
        <v>102</v>
      </c>
      <c r="C42" s="44" t="s">
        <v>43</v>
      </c>
      <c r="D42" s="44" t="s">
        <v>289</v>
      </c>
      <c r="E42" s="50">
        <v>59387</v>
      </c>
      <c r="F42" s="44"/>
      <c r="G42" s="44"/>
      <c r="H42" s="50">
        <v>9134</v>
      </c>
    </row>
    <row r="43" spans="1:8">
      <c r="A43" s="45"/>
      <c r="B43" s="45"/>
      <c r="C43" s="45"/>
      <c r="D43" s="45"/>
      <c r="E43" s="45"/>
      <c r="F43" s="45"/>
      <c r="G43" s="45"/>
      <c r="H43" s="45"/>
    </row>
    <row r="44" spans="1:8">
      <c r="A44" s="44"/>
      <c r="B44" s="44"/>
      <c r="C44" s="44"/>
      <c r="D44" s="44"/>
      <c r="E44" s="44"/>
      <c r="F44" s="44"/>
      <c r="G44" s="44"/>
      <c r="H44" s="44"/>
    </row>
    <row r="45" spans="1:8">
      <c r="A45" s="45">
        <v>2014</v>
      </c>
      <c r="B45" s="45" t="s">
        <v>108</v>
      </c>
      <c r="C45" s="45" t="s">
        <v>44</v>
      </c>
      <c r="D45" s="45" t="s">
        <v>288</v>
      </c>
      <c r="E45" s="49">
        <v>629.18700000000001</v>
      </c>
      <c r="F45" s="45"/>
      <c r="G45" s="45"/>
      <c r="H45" s="45">
        <v>96</v>
      </c>
    </row>
    <row r="46" spans="1:8">
      <c r="A46" s="44">
        <v>2015</v>
      </c>
      <c r="B46" s="44" t="s">
        <v>108</v>
      </c>
      <c r="C46" s="44" t="s">
        <v>44</v>
      </c>
      <c r="D46" s="44" t="s">
        <v>288</v>
      </c>
      <c r="E46" s="50">
        <v>737.68500000000006</v>
      </c>
      <c r="F46" s="44"/>
      <c r="G46" s="44"/>
      <c r="H46" s="44">
        <v>113</v>
      </c>
    </row>
    <row r="47" spans="1:8">
      <c r="A47" s="45">
        <v>2016</v>
      </c>
      <c r="B47" s="45" t="s">
        <v>108</v>
      </c>
      <c r="C47" s="45" t="s">
        <v>44</v>
      </c>
      <c r="D47" s="45" t="s">
        <v>288</v>
      </c>
      <c r="E47" s="49">
        <v>820.83299999999997</v>
      </c>
      <c r="F47" s="45"/>
      <c r="G47" s="45"/>
      <c r="H47" s="45">
        <v>126</v>
      </c>
    </row>
    <row r="48" spans="1:8">
      <c r="A48" s="44">
        <v>2017</v>
      </c>
      <c r="B48" s="44" t="s">
        <v>108</v>
      </c>
      <c r="C48" s="44" t="s">
        <v>44</v>
      </c>
      <c r="D48" s="44" t="s">
        <v>288</v>
      </c>
      <c r="E48" s="50">
        <v>663.15600000000006</v>
      </c>
      <c r="F48" s="44"/>
      <c r="G48" s="44"/>
      <c r="H48" s="44">
        <v>101</v>
      </c>
    </row>
    <row r="49" spans="1:8">
      <c r="A49" s="45">
        <v>2014</v>
      </c>
      <c r="B49" s="45" t="s">
        <v>108</v>
      </c>
      <c r="C49" s="45" t="s">
        <v>44</v>
      </c>
      <c r="D49" s="45" t="s">
        <v>289</v>
      </c>
      <c r="E49" s="51">
        <v>5080</v>
      </c>
      <c r="F49" s="45"/>
      <c r="G49" s="45"/>
      <c r="H49" s="45">
        <v>781</v>
      </c>
    </row>
    <row r="50" spans="1:8">
      <c r="A50" s="44">
        <v>2015</v>
      </c>
      <c r="B50" s="44" t="s">
        <v>108</v>
      </c>
      <c r="C50" s="44" t="s">
        <v>44</v>
      </c>
      <c r="D50" s="44" t="s">
        <v>289</v>
      </c>
      <c r="E50" s="52">
        <v>6507</v>
      </c>
      <c r="F50" s="44"/>
      <c r="G50" s="44"/>
      <c r="H50" s="44">
        <v>1000</v>
      </c>
    </row>
    <row r="51" spans="1:8">
      <c r="A51" s="45">
        <v>2016</v>
      </c>
      <c r="B51" s="45" t="s">
        <v>108</v>
      </c>
      <c r="C51" s="45" t="s">
        <v>44</v>
      </c>
      <c r="D51" s="45" t="s">
        <v>289</v>
      </c>
      <c r="E51" s="51">
        <v>7247</v>
      </c>
      <c r="F51" s="45"/>
      <c r="G51" s="45"/>
      <c r="H51" s="45">
        <v>1114</v>
      </c>
    </row>
    <row r="52" spans="1:8">
      <c r="A52" s="44">
        <v>2017</v>
      </c>
      <c r="B52" s="44" t="s">
        <v>108</v>
      </c>
      <c r="C52" s="44" t="s">
        <v>44</v>
      </c>
      <c r="D52" s="44" t="s">
        <v>289</v>
      </c>
      <c r="E52" s="52">
        <v>6048</v>
      </c>
      <c r="F52" s="44"/>
      <c r="G52" s="44"/>
      <c r="H52" s="44">
        <v>930</v>
      </c>
    </row>
    <row r="53" spans="1:8">
      <c r="A53" s="45">
        <v>2014</v>
      </c>
      <c r="B53" s="45" t="s">
        <v>108</v>
      </c>
      <c r="C53" s="45" t="s">
        <v>43</v>
      </c>
      <c r="D53" s="45" t="s">
        <v>288</v>
      </c>
      <c r="E53" s="49">
        <v>611.81299999999999</v>
      </c>
      <c r="F53" s="45"/>
      <c r="G53" s="45"/>
      <c r="H53" s="45">
        <v>93</v>
      </c>
    </row>
    <row r="54" spans="1:8">
      <c r="A54" s="44">
        <v>2015</v>
      </c>
      <c r="B54" s="44" t="s">
        <v>108</v>
      </c>
      <c r="C54" s="44" t="s">
        <v>43</v>
      </c>
      <c r="D54" s="44" t="s">
        <v>288</v>
      </c>
      <c r="E54" s="50">
        <v>717.31499999999994</v>
      </c>
      <c r="F54" s="44"/>
      <c r="G54" s="44"/>
      <c r="H54" s="44">
        <v>110</v>
      </c>
    </row>
    <row r="55" spans="1:8">
      <c r="A55" s="45">
        <v>2016</v>
      </c>
      <c r="B55" s="45" t="s">
        <v>108</v>
      </c>
      <c r="C55" s="45" t="s">
        <v>43</v>
      </c>
      <c r="D55" s="45" t="s">
        <v>288</v>
      </c>
      <c r="E55" s="49">
        <v>798.16700000000003</v>
      </c>
      <c r="F55" s="45"/>
      <c r="G55" s="45"/>
      <c r="H55" s="45">
        <v>122</v>
      </c>
    </row>
    <row r="56" spans="1:8">
      <c r="A56" s="44">
        <v>2017</v>
      </c>
      <c r="B56" s="44" t="s">
        <v>108</v>
      </c>
      <c r="C56" s="44" t="s">
        <v>43</v>
      </c>
      <c r="D56" s="44" t="s">
        <v>288</v>
      </c>
      <c r="E56" s="50">
        <v>644.84399999999994</v>
      </c>
      <c r="F56" s="44"/>
      <c r="G56" s="44"/>
      <c r="H56" s="44">
        <v>99</v>
      </c>
    </row>
    <row r="57" spans="1:8">
      <c r="A57" s="45">
        <v>2014</v>
      </c>
      <c r="B57" s="45" t="s">
        <v>108</v>
      </c>
      <c r="C57" s="45" t="s">
        <v>43</v>
      </c>
      <c r="D57" s="45" t="s">
        <v>289</v>
      </c>
      <c r="E57" s="45">
        <v>9856</v>
      </c>
      <c r="F57" s="45"/>
      <c r="G57" s="45"/>
      <c r="H57" s="45">
        <v>1516</v>
      </c>
    </row>
    <row r="58" spans="1:8">
      <c r="A58" s="44">
        <v>2015</v>
      </c>
      <c r="B58" s="44" t="s">
        <v>108</v>
      </c>
      <c r="C58" s="44" t="s">
        <v>43</v>
      </c>
      <c r="D58" s="44" t="s">
        <v>289</v>
      </c>
      <c r="E58" s="44">
        <v>12089</v>
      </c>
      <c r="F58" s="44"/>
      <c r="G58" s="44"/>
      <c r="H58" s="44">
        <v>1859</v>
      </c>
    </row>
    <row r="59" spans="1:8">
      <c r="A59" s="45">
        <v>2016</v>
      </c>
      <c r="B59" s="45" t="s">
        <v>108</v>
      </c>
      <c r="C59" s="45" t="s">
        <v>43</v>
      </c>
      <c r="D59" s="45" t="s">
        <v>289</v>
      </c>
      <c r="E59" s="45">
        <v>13915</v>
      </c>
      <c r="F59" s="45"/>
      <c r="G59" s="45"/>
      <c r="H59" s="45">
        <v>2140</v>
      </c>
    </row>
    <row r="60" spans="1:8">
      <c r="A60" s="44">
        <v>2017</v>
      </c>
      <c r="B60" s="44" t="s">
        <v>108</v>
      </c>
      <c r="C60" s="44" t="s">
        <v>43</v>
      </c>
      <c r="D60" s="44" t="s">
        <v>289</v>
      </c>
      <c r="E60" s="44">
        <v>13970</v>
      </c>
      <c r="F60" s="44"/>
      <c r="G60" s="44"/>
      <c r="H60" s="44">
        <v>2148</v>
      </c>
    </row>
    <row r="61" spans="1:8">
      <c r="A61" s="45"/>
      <c r="B61" s="45"/>
      <c r="C61" s="45"/>
      <c r="D61" s="45"/>
      <c r="E61" s="45"/>
      <c r="F61" s="45"/>
      <c r="G61" s="45"/>
      <c r="H61" s="45"/>
    </row>
    <row r="62" spans="1:8">
      <c r="A62" s="44"/>
      <c r="B62" s="44"/>
      <c r="C62" s="44"/>
      <c r="D62" s="44"/>
      <c r="E62" s="44"/>
      <c r="F62" s="44"/>
      <c r="G62" s="44"/>
      <c r="H62" s="44"/>
    </row>
    <row r="63" spans="1:8">
      <c r="A63" s="45">
        <v>2014</v>
      </c>
      <c r="B63" s="45" t="s">
        <v>111</v>
      </c>
      <c r="C63" s="45" t="s">
        <v>44</v>
      </c>
      <c r="D63" s="45" t="s">
        <v>288</v>
      </c>
      <c r="E63" s="49">
        <v>1464.723</v>
      </c>
      <c r="F63" s="49"/>
      <c r="G63" s="49"/>
      <c r="H63" s="49">
        <v>225</v>
      </c>
    </row>
    <row r="64" spans="1:8">
      <c r="A64" s="44">
        <v>2015</v>
      </c>
      <c r="B64" s="44" t="s">
        <v>111</v>
      </c>
      <c r="C64" s="44" t="s">
        <v>44</v>
      </c>
      <c r="D64" s="44" t="s">
        <v>288</v>
      </c>
      <c r="E64" s="50">
        <v>1492.1010000000001</v>
      </c>
      <c r="F64" s="50"/>
      <c r="G64" s="50"/>
      <c r="H64" s="50">
        <v>229</v>
      </c>
    </row>
    <row r="65" spans="1:8">
      <c r="A65" s="45">
        <v>2016</v>
      </c>
      <c r="B65" s="45" t="s">
        <v>111</v>
      </c>
      <c r="C65" s="45" t="s">
        <v>44</v>
      </c>
      <c r="D65" s="45" t="s">
        <v>288</v>
      </c>
      <c r="E65" s="49">
        <v>1443.9359999999999</v>
      </c>
      <c r="F65" s="49"/>
      <c r="G65" s="49"/>
      <c r="H65" s="49">
        <v>222</v>
      </c>
    </row>
    <row r="66" spans="1:8">
      <c r="A66" s="44">
        <v>2017</v>
      </c>
      <c r="B66" s="44" t="s">
        <v>111</v>
      </c>
      <c r="C66" s="44" t="s">
        <v>44</v>
      </c>
      <c r="D66" s="44" t="s">
        <v>288</v>
      </c>
      <c r="E66" s="50">
        <v>1823.172</v>
      </c>
      <c r="F66" s="50"/>
      <c r="G66" s="50"/>
      <c r="H66" s="50">
        <v>280</v>
      </c>
    </row>
    <row r="67" spans="1:8">
      <c r="A67" s="45">
        <v>2014</v>
      </c>
      <c r="B67" s="45" t="s">
        <v>111</v>
      </c>
      <c r="C67" s="45" t="s">
        <v>44</v>
      </c>
      <c r="D67" s="45" t="s">
        <v>289</v>
      </c>
      <c r="E67" s="49">
        <v>14367</v>
      </c>
      <c r="F67" s="49"/>
      <c r="G67" s="49"/>
      <c r="H67" s="49">
        <v>2210</v>
      </c>
    </row>
    <row r="68" spans="1:8">
      <c r="A68" s="44">
        <v>2015</v>
      </c>
      <c r="B68" s="44" t="s">
        <v>111</v>
      </c>
      <c r="C68" s="44" t="s">
        <v>44</v>
      </c>
      <c r="D68" s="44" t="s">
        <v>289</v>
      </c>
      <c r="E68" s="50">
        <v>15686</v>
      </c>
      <c r="F68" s="50"/>
      <c r="G68" s="50"/>
      <c r="H68" s="50">
        <v>2412.5</v>
      </c>
    </row>
    <row r="69" spans="1:8">
      <c r="A69" s="45">
        <v>2016</v>
      </c>
      <c r="B69" s="45" t="s">
        <v>111</v>
      </c>
      <c r="C69" s="45" t="s">
        <v>44</v>
      </c>
      <c r="D69" s="45" t="s">
        <v>289</v>
      </c>
      <c r="E69" s="49">
        <v>15751</v>
      </c>
      <c r="F69" s="49"/>
      <c r="G69" s="49"/>
      <c r="H69" s="49">
        <v>2422.5</v>
      </c>
    </row>
    <row r="70" spans="1:8">
      <c r="A70" s="44">
        <v>2017</v>
      </c>
      <c r="B70" s="44" t="s">
        <v>111</v>
      </c>
      <c r="C70" s="44" t="s">
        <v>44</v>
      </c>
      <c r="D70" s="44" t="s">
        <v>289</v>
      </c>
      <c r="E70" s="50">
        <v>19900</v>
      </c>
      <c r="F70" s="50"/>
      <c r="G70" s="50"/>
      <c r="H70" s="50">
        <v>3061</v>
      </c>
    </row>
    <row r="71" spans="1:8">
      <c r="A71" s="45">
        <v>2014</v>
      </c>
      <c r="B71" s="45" t="s">
        <v>111</v>
      </c>
      <c r="C71" s="45" t="s">
        <v>43</v>
      </c>
      <c r="D71" s="45" t="s">
        <v>288</v>
      </c>
      <c r="E71" s="49">
        <v>1424.277</v>
      </c>
      <c r="F71" s="49"/>
      <c r="G71" s="49"/>
      <c r="H71" s="49">
        <v>219</v>
      </c>
    </row>
    <row r="72" spans="1:8">
      <c r="A72" s="44">
        <v>2015</v>
      </c>
      <c r="B72" s="44" t="s">
        <v>111</v>
      </c>
      <c r="C72" s="44" t="s">
        <v>43</v>
      </c>
      <c r="D72" s="44" t="s">
        <v>288</v>
      </c>
      <c r="E72" s="50">
        <v>1450.8989999999999</v>
      </c>
      <c r="F72" s="50"/>
      <c r="G72" s="50"/>
      <c r="H72" s="50">
        <v>223</v>
      </c>
    </row>
    <row r="73" spans="1:8">
      <c r="A73" s="45">
        <v>2016</v>
      </c>
      <c r="B73" s="45" t="s">
        <v>111</v>
      </c>
      <c r="C73" s="45" t="s">
        <v>43</v>
      </c>
      <c r="D73" s="45" t="s">
        <v>288</v>
      </c>
      <c r="E73" s="49">
        <v>1404.0640000000001</v>
      </c>
      <c r="F73" s="49"/>
      <c r="G73" s="49"/>
      <c r="H73" s="49">
        <v>215</v>
      </c>
    </row>
    <row r="74" spans="1:8">
      <c r="A74" s="44">
        <v>2017</v>
      </c>
      <c r="B74" s="44" t="s">
        <v>111</v>
      </c>
      <c r="C74" s="44" t="s">
        <v>43</v>
      </c>
      <c r="D74" s="44" t="s">
        <v>288</v>
      </c>
      <c r="E74" s="50">
        <v>1772.828</v>
      </c>
      <c r="F74" s="50"/>
      <c r="G74" s="50"/>
      <c r="H74" s="50">
        <v>272</v>
      </c>
    </row>
    <row r="75" spans="1:8">
      <c r="A75" s="45">
        <v>2014</v>
      </c>
      <c r="B75" s="45" t="s">
        <v>111</v>
      </c>
      <c r="C75" s="45" t="s">
        <v>43</v>
      </c>
      <c r="D75" s="45" t="s">
        <v>289</v>
      </c>
      <c r="E75" s="49">
        <v>24974</v>
      </c>
      <c r="F75" s="49"/>
      <c r="G75" s="49"/>
      <c r="H75" s="49">
        <v>3841</v>
      </c>
    </row>
    <row r="76" spans="1:8">
      <c r="A76" s="44">
        <v>2015</v>
      </c>
      <c r="B76" s="44" t="s">
        <v>111</v>
      </c>
      <c r="C76" s="44" t="s">
        <v>43</v>
      </c>
      <c r="D76" s="44" t="s">
        <v>289</v>
      </c>
      <c r="E76" s="50">
        <v>29304</v>
      </c>
      <c r="F76" s="50"/>
      <c r="G76" s="50"/>
      <c r="H76" s="50">
        <v>4507</v>
      </c>
    </row>
    <row r="77" spans="1:8">
      <c r="A77" s="45">
        <v>2016</v>
      </c>
      <c r="B77" s="45" t="s">
        <v>111</v>
      </c>
      <c r="C77" s="45" t="s">
        <v>43</v>
      </c>
      <c r="D77" s="45" t="s">
        <v>289</v>
      </c>
      <c r="E77" s="49">
        <v>30721</v>
      </c>
      <c r="F77" s="49"/>
      <c r="G77" s="49"/>
      <c r="H77" s="49">
        <v>4725</v>
      </c>
    </row>
    <row r="78" spans="1:8">
      <c r="A78" s="44">
        <v>2017</v>
      </c>
      <c r="B78" s="44" t="s">
        <v>111</v>
      </c>
      <c r="C78" s="44" t="s">
        <v>43</v>
      </c>
      <c r="D78" s="44" t="s">
        <v>289</v>
      </c>
      <c r="E78" s="50">
        <v>36041</v>
      </c>
      <c r="F78" s="50"/>
      <c r="G78" s="50"/>
      <c r="H78" s="50">
        <v>5543.5</v>
      </c>
    </row>
    <row r="79" spans="1:8">
      <c r="A79" s="45"/>
      <c r="B79" s="45"/>
      <c r="C79" s="45"/>
      <c r="D79" s="45"/>
      <c r="E79" s="45"/>
      <c r="F79" s="45"/>
      <c r="G79" s="45"/>
      <c r="H79" s="45"/>
    </row>
    <row r="80" spans="1:8">
      <c r="A80" s="44"/>
      <c r="B80" s="44"/>
      <c r="C80" s="44"/>
      <c r="D80" s="44"/>
      <c r="E80" s="44"/>
      <c r="F80" s="44"/>
      <c r="G80" s="44"/>
      <c r="H80" s="44"/>
    </row>
    <row r="81" spans="1:8">
      <c r="A81" s="45">
        <v>2014</v>
      </c>
      <c r="B81" s="45" t="s">
        <v>106</v>
      </c>
      <c r="C81" s="45" t="s">
        <v>44</v>
      </c>
      <c r="D81" s="45" t="s">
        <v>288</v>
      </c>
      <c r="E81" s="49">
        <v>5862.9480000000003</v>
      </c>
      <c r="F81" s="49"/>
      <c r="G81" s="49"/>
      <c r="H81" s="49">
        <v>901</v>
      </c>
    </row>
    <row r="82" spans="1:8">
      <c r="A82" s="44">
        <v>2015</v>
      </c>
      <c r="B82" s="44" t="s">
        <v>106</v>
      </c>
      <c r="C82" s="44" t="s">
        <v>44</v>
      </c>
      <c r="D82" s="44" t="s">
        <v>288</v>
      </c>
      <c r="E82" s="50">
        <v>8577.9330000000009</v>
      </c>
      <c r="F82" s="50"/>
      <c r="G82" s="50"/>
      <c r="H82" s="50">
        <v>1319</v>
      </c>
    </row>
    <row r="83" spans="1:8">
      <c r="A83" s="45">
        <v>2016</v>
      </c>
      <c r="B83" s="45" t="s">
        <v>106</v>
      </c>
      <c r="C83" s="45" t="s">
        <v>44</v>
      </c>
      <c r="D83" s="45" t="s">
        <v>288</v>
      </c>
      <c r="E83" s="49">
        <v>7191.2880000000005</v>
      </c>
      <c r="F83" s="49"/>
      <c r="G83" s="49"/>
      <c r="H83" s="49">
        <v>1106</v>
      </c>
    </row>
    <row r="84" spans="1:8">
      <c r="A84" s="44">
        <v>2017</v>
      </c>
      <c r="B84" s="44" t="s">
        <v>106</v>
      </c>
      <c r="C84" s="44" t="s">
        <v>44</v>
      </c>
      <c r="D84" s="44" t="s">
        <v>288</v>
      </c>
      <c r="E84" s="50">
        <v>6232.5510000000004</v>
      </c>
      <c r="F84" s="50"/>
      <c r="G84" s="50"/>
      <c r="H84" s="50">
        <v>958</v>
      </c>
    </row>
    <row r="85" spans="1:8">
      <c r="A85" s="45">
        <v>2014</v>
      </c>
      <c r="B85" s="45" t="s">
        <v>106</v>
      </c>
      <c r="C85" s="45" t="s">
        <v>44</v>
      </c>
      <c r="D85" s="45" t="s">
        <v>289</v>
      </c>
      <c r="E85" s="49">
        <v>63305</v>
      </c>
      <c r="F85" s="49"/>
      <c r="G85" s="49"/>
      <c r="H85" s="49">
        <v>9737</v>
      </c>
    </row>
    <row r="86" spans="1:8">
      <c r="A86" s="44">
        <v>2015</v>
      </c>
      <c r="B86" s="44" t="s">
        <v>106</v>
      </c>
      <c r="C86" s="44" t="s">
        <v>44</v>
      </c>
      <c r="D86" s="44" t="s">
        <v>289</v>
      </c>
      <c r="E86" s="50">
        <v>78223</v>
      </c>
      <c r="F86" s="50"/>
      <c r="G86" s="50"/>
      <c r="H86" s="50">
        <v>12031</v>
      </c>
    </row>
    <row r="87" spans="1:8">
      <c r="A87" s="45">
        <v>2016</v>
      </c>
      <c r="B87" s="45" t="s">
        <v>106</v>
      </c>
      <c r="C87" s="45" t="s">
        <v>44</v>
      </c>
      <c r="D87" s="45" t="s">
        <v>289</v>
      </c>
      <c r="E87" s="49">
        <v>82149</v>
      </c>
      <c r="F87" s="49"/>
      <c r="G87" s="49"/>
      <c r="H87" s="49">
        <v>12635</v>
      </c>
    </row>
    <row r="88" spans="1:8">
      <c r="A88" s="44">
        <v>2017</v>
      </c>
      <c r="B88" s="44" t="s">
        <v>106</v>
      </c>
      <c r="C88" s="44" t="s">
        <v>44</v>
      </c>
      <c r="D88" s="44" t="s">
        <v>289</v>
      </c>
      <c r="E88" s="50">
        <v>80266</v>
      </c>
      <c r="F88" s="50"/>
      <c r="G88" s="50"/>
      <c r="H88" s="50">
        <v>12345</v>
      </c>
    </row>
    <row r="89" spans="1:8">
      <c r="A89" s="45">
        <v>2014</v>
      </c>
      <c r="B89" s="45" t="s">
        <v>106</v>
      </c>
      <c r="C89" s="45" t="s">
        <v>43</v>
      </c>
      <c r="D89" s="45" t="s">
        <v>288</v>
      </c>
      <c r="E89" s="49">
        <v>5701.0519999999997</v>
      </c>
      <c r="F89" s="49"/>
      <c r="G89" s="49"/>
      <c r="H89" s="49">
        <v>877</v>
      </c>
    </row>
    <row r="90" spans="1:8">
      <c r="A90" s="44">
        <v>2015</v>
      </c>
      <c r="B90" s="44" t="s">
        <v>106</v>
      </c>
      <c r="C90" s="44" t="s">
        <v>43</v>
      </c>
      <c r="D90" s="44" t="s">
        <v>288</v>
      </c>
      <c r="E90" s="50">
        <v>8341.0669999999991</v>
      </c>
      <c r="F90" s="50"/>
      <c r="G90" s="50"/>
      <c r="H90" s="50">
        <v>1283</v>
      </c>
    </row>
    <row r="91" spans="1:8">
      <c r="A91" s="45">
        <v>2016</v>
      </c>
      <c r="B91" s="45" t="s">
        <v>106</v>
      </c>
      <c r="C91" s="45" t="s">
        <v>43</v>
      </c>
      <c r="D91" s="45" t="s">
        <v>288</v>
      </c>
      <c r="E91" s="49">
        <v>6992.7119999999995</v>
      </c>
      <c r="F91" s="49"/>
      <c r="G91" s="49"/>
      <c r="H91" s="49">
        <v>1075</v>
      </c>
    </row>
    <row r="92" spans="1:8">
      <c r="A92" s="44">
        <v>2017</v>
      </c>
      <c r="B92" s="44" t="s">
        <v>106</v>
      </c>
      <c r="C92" s="44" t="s">
        <v>43</v>
      </c>
      <c r="D92" s="44" t="s">
        <v>288</v>
      </c>
      <c r="E92" s="50">
        <v>6060.4489999999996</v>
      </c>
      <c r="F92" s="50"/>
      <c r="G92" s="50"/>
      <c r="H92" s="50">
        <v>932</v>
      </c>
    </row>
    <row r="93" spans="1:8">
      <c r="A93" s="45">
        <v>2014</v>
      </c>
      <c r="B93" s="45" t="s">
        <v>106</v>
      </c>
      <c r="C93" s="45" t="s">
        <v>43</v>
      </c>
      <c r="D93" s="45" t="s">
        <v>289</v>
      </c>
      <c r="E93" s="49">
        <v>100810</v>
      </c>
      <c r="F93" s="49"/>
      <c r="G93" s="49"/>
      <c r="H93" s="49">
        <v>15505</v>
      </c>
    </row>
    <row r="94" spans="1:8">
      <c r="A94" s="44">
        <v>2015</v>
      </c>
      <c r="B94" s="44" t="s">
        <v>106</v>
      </c>
      <c r="C94" s="44" t="s">
        <v>43</v>
      </c>
      <c r="D94" s="44" t="s">
        <v>289</v>
      </c>
      <c r="E94" s="50">
        <v>125319</v>
      </c>
      <c r="F94" s="50"/>
      <c r="G94" s="50"/>
      <c r="H94" s="50">
        <v>19274</v>
      </c>
    </row>
    <row r="95" spans="1:8">
      <c r="A95" s="45">
        <v>2016</v>
      </c>
      <c r="B95" s="45" t="s">
        <v>106</v>
      </c>
      <c r="C95" s="45" t="s">
        <v>43</v>
      </c>
      <c r="D95" s="45" t="s">
        <v>289</v>
      </c>
      <c r="E95" s="49">
        <v>131040</v>
      </c>
      <c r="F95" s="49"/>
      <c r="G95" s="49"/>
      <c r="H95" s="49">
        <v>20155</v>
      </c>
    </row>
    <row r="96" spans="1:8">
      <c r="A96" s="44">
        <v>2017</v>
      </c>
      <c r="B96" s="44" t="s">
        <v>106</v>
      </c>
      <c r="C96" s="44" t="s">
        <v>43</v>
      </c>
      <c r="D96" s="44" t="s">
        <v>289</v>
      </c>
      <c r="E96" s="50">
        <v>136865</v>
      </c>
      <c r="F96" s="50"/>
      <c r="G96" s="50"/>
      <c r="H96" s="50">
        <v>21050</v>
      </c>
    </row>
    <row r="97" spans="1:8">
      <c r="A97" s="45"/>
      <c r="B97" s="45"/>
      <c r="C97" s="45"/>
      <c r="D97" s="45"/>
      <c r="E97" s="45"/>
      <c r="F97" s="45"/>
      <c r="G97" s="45"/>
      <c r="H97" s="45"/>
    </row>
    <row r="98" spans="1:8">
      <c r="A98" s="44"/>
      <c r="B98" s="44"/>
      <c r="C98" s="44"/>
      <c r="D98" s="44"/>
      <c r="E98" s="44"/>
      <c r="F98" s="44"/>
      <c r="G98" s="44"/>
      <c r="H98" s="44"/>
    </row>
    <row r="99" spans="1:8">
      <c r="A99" s="45">
        <v>2014</v>
      </c>
      <c r="B99" s="45" t="s">
        <v>110</v>
      </c>
      <c r="C99" s="45" t="s">
        <v>44</v>
      </c>
      <c r="D99" s="45" t="s">
        <v>288</v>
      </c>
      <c r="E99" s="49">
        <v>3280.29</v>
      </c>
      <c r="F99" s="45"/>
      <c r="G99" s="45"/>
      <c r="H99" s="45">
        <v>504</v>
      </c>
    </row>
    <row r="100" spans="1:8">
      <c r="A100" s="44">
        <v>2015</v>
      </c>
      <c r="B100" s="44" t="s">
        <v>110</v>
      </c>
      <c r="C100" s="44" t="s">
        <v>44</v>
      </c>
      <c r="D100" s="44" t="s">
        <v>288</v>
      </c>
      <c r="E100" s="50">
        <v>3011.58</v>
      </c>
      <c r="F100" s="44"/>
      <c r="G100" s="44"/>
      <c r="H100" s="44">
        <v>463</v>
      </c>
    </row>
    <row r="101" spans="1:8">
      <c r="A101" s="45">
        <v>2016</v>
      </c>
      <c r="B101" s="45" t="s">
        <v>110</v>
      </c>
      <c r="C101" s="45" t="s">
        <v>44</v>
      </c>
      <c r="D101" s="45" t="s">
        <v>288</v>
      </c>
      <c r="E101" s="49">
        <v>2841.2280000000001</v>
      </c>
      <c r="F101" s="45"/>
      <c r="G101" s="45"/>
      <c r="H101" s="45">
        <v>437</v>
      </c>
    </row>
    <row r="102" spans="1:8">
      <c r="A102" s="44">
        <v>2017</v>
      </c>
      <c r="B102" s="44" t="s">
        <v>110</v>
      </c>
      <c r="C102" s="44" t="s">
        <v>44</v>
      </c>
      <c r="D102" s="44" t="s">
        <v>288</v>
      </c>
      <c r="E102" s="50">
        <v>3243.279</v>
      </c>
      <c r="F102" s="44"/>
      <c r="G102" s="44"/>
      <c r="H102" s="44">
        <v>498</v>
      </c>
    </row>
    <row r="103" spans="1:8">
      <c r="A103" s="45">
        <v>2014</v>
      </c>
      <c r="B103" s="45" t="s">
        <v>110</v>
      </c>
      <c r="C103" s="45" t="s">
        <v>44</v>
      </c>
      <c r="D103" s="45" t="s">
        <v>289</v>
      </c>
      <c r="E103" s="49">
        <v>44266</v>
      </c>
      <c r="F103" s="45"/>
      <c r="G103" s="45"/>
      <c r="H103" s="45">
        <v>3877</v>
      </c>
    </row>
    <row r="104" spans="1:8">
      <c r="A104" s="44">
        <v>2015</v>
      </c>
      <c r="B104" s="44" t="s">
        <v>110</v>
      </c>
      <c r="C104" s="44" t="s">
        <v>44</v>
      </c>
      <c r="D104" s="44" t="s">
        <v>289</v>
      </c>
      <c r="E104" s="50">
        <v>46533</v>
      </c>
      <c r="F104" s="44"/>
      <c r="G104" s="44"/>
      <c r="H104" s="44">
        <v>4044</v>
      </c>
    </row>
    <row r="105" spans="1:8">
      <c r="A105" s="45">
        <v>2016</v>
      </c>
      <c r="B105" s="45" t="s">
        <v>110</v>
      </c>
      <c r="C105" s="45" t="s">
        <v>44</v>
      </c>
      <c r="D105" s="45" t="s">
        <v>289</v>
      </c>
      <c r="E105" s="49">
        <v>48268</v>
      </c>
      <c r="F105" s="45"/>
      <c r="G105" s="45"/>
      <c r="H105" s="45">
        <v>4296</v>
      </c>
    </row>
    <row r="106" spans="1:8">
      <c r="A106" s="44">
        <v>2017</v>
      </c>
      <c r="B106" s="44" t="s">
        <v>110</v>
      </c>
      <c r="C106" s="44" t="s">
        <v>44</v>
      </c>
      <c r="D106" s="44" t="s">
        <v>289</v>
      </c>
      <c r="E106" s="50">
        <v>57821</v>
      </c>
      <c r="F106" s="44"/>
      <c r="G106" s="44"/>
      <c r="H106" s="44">
        <v>4974</v>
      </c>
    </row>
    <row r="107" spans="1:8">
      <c r="A107" s="45">
        <v>2014</v>
      </c>
      <c r="B107" s="45" t="s">
        <v>110</v>
      </c>
      <c r="C107" s="45" t="s">
        <v>43</v>
      </c>
      <c r="D107" s="45" t="s">
        <v>288</v>
      </c>
      <c r="E107" s="49">
        <v>3189.71</v>
      </c>
      <c r="F107" s="45"/>
      <c r="G107" s="45"/>
      <c r="H107" s="45">
        <v>490</v>
      </c>
    </row>
    <row r="108" spans="1:8">
      <c r="A108" s="44">
        <v>2015</v>
      </c>
      <c r="B108" s="44" t="s">
        <v>110</v>
      </c>
      <c r="C108" s="44" t="s">
        <v>43</v>
      </c>
      <c r="D108" s="44" t="s">
        <v>288</v>
      </c>
      <c r="E108" s="50">
        <v>2928.42</v>
      </c>
      <c r="F108" s="44"/>
      <c r="G108" s="44"/>
      <c r="H108" s="44">
        <v>450</v>
      </c>
    </row>
    <row r="109" spans="1:8">
      <c r="A109" s="45">
        <v>2016</v>
      </c>
      <c r="B109" s="45" t="s">
        <v>110</v>
      </c>
      <c r="C109" s="45" t="s">
        <v>43</v>
      </c>
      <c r="D109" s="45" t="s">
        <v>288</v>
      </c>
      <c r="E109" s="49">
        <v>2762.7719999999999</v>
      </c>
      <c r="F109" s="45"/>
      <c r="G109" s="45"/>
      <c r="H109" s="45">
        <v>424</v>
      </c>
    </row>
    <row r="110" spans="1:8">
      <c r="A110" s="44">
        <v>2017</v>
      </c>
      <c r="B110" s="44" t="s">
        <v>110</v>
      </c>
      <c r="C110" s="44" t="s">
        <v>43</v>
      </c>
      <c r="D110" s="44" t="s">
        <v>288</v>
      </c>
      <c r="E110" s="50">
        <v>3153.721</v>
      </c>
      <c r="F110" s="44"/>
      <c r="G110" s="44"/>
      <c r="H110" s="44">
        <v>485</v>
      </c>
    </row>
    <row r="111" spans="1:8">
      <c r="A111" s="45">
        <v>2014</v>
      </c>
      <c r="B111" s="45" t="s">
        <v>110</v>
      </c>
      <c r="C111" s="45" t="s">
        <v>43</v>
      </c>
      <c r="D111" s="45" t="s">
        <v>289</v>
      </c>
      <c r="E111" s="49">
        <v>69709</v>
      </c>
      <c r="F111" s="45"/>
      <c r="G111" s="45"/>
      <c r="H111" s="45">
        <v>4591</v>
      </c>
    </row>
    <row r="112" spans="1:8">
      <c r="A112" s="44">
        <v>2015</v>
      </c>
      <c r="B112" s="44" t="s">
        <v>110</v>
      </c>
      <c r="C112" s="44" t="s">
        <v>43</v>
      </c>
      <c r="D112" s="44" t="s">
        <v>289</v>
      </c>
      <c r="E112" s="50">
        <v>73159</v>
      </c>
      <c r="F112" s="44"/>
      <c r="G112" s="44"/>
      <c r="H112" s="44">
        <v>4783</v>
      </c>
    </row>
    <row r="113" spans="1:8">
      <c r="A113" s="45">
        <v>2016</v>
      </c>
      <c r="B113" s="45" t="s">
        <v>110</v>
      </c>
      <c r="C113" s="45" t="s">
        <v>43</v>
      </c>
      <c r="D113" s="45" t="s">
        <v>289</v>
      </c>
      <c r="E113" s="49">
        <v>75693</v>
      </c>
      <c r="F113" s="45"/>
      <c r="G113" s="45"/>
      <c r="H113" s="45">
        <v>5132</v>
      </c>
    </row>
    <row r="114" spans="1:8">
      <c r="A114" s="44">
        <v>2017</v>
      </c>
      <c r="B114" s="44" t="s">
        <v>110</v>
      </c>
      <c r="C114" s="44" t="s">
        <v>43</v>
      </c>
      <c r="D114" s="44" t="s">
        <v>289</v>
      </c>
      <c r="E114" s="50">
        <v>86948</v>
      </c>
      <c r="F114" s="44"/>
      <c r="G114" s="44"/>
      <c r="H114" s="44">
        <v>6170</v>
      </c>
    </row>
    <row r="115" spans="1:8">
      <c r="A115" s="45"/>
      <c r="B115" s="45"/>
      <c r="C115" s="45"/>
      <c r="D115" s="45"/>
      <c r="E115" s="49"/>
      <c r="F115" s="45"/>
      <c r="G115" s="45"/>
      <c r="H115" s="45"/>
    </row>
    <row r="116" spans="1:8">
      <c r="A116" s="44"/>
      <c r="B116" s="44"/>
      <c r="C116" s="44"/>
      <c r="D116" s="44"/>
      <c r="E116" s="50"/>
      <c r="F116" s="44"/>
      <c r="G116" s="44"/>
      <c r="H116" s="44"/>
    </row>
    <row r="117" spans="1:8">
      <c r="A117" s="45">
        <v>2014</v>
      </c>
      <c r="B117" s="45" t="s">
        <v>107</v>
      </c>
      <c r="C117" s="45" t="s">
        <v>44</v>
      </c>
      <c r="D117" s="45" t="s">
        <v>288</v>
      </c>
      <c r="E117" s="49">
        <v>499.39499999999998</v>
      </c>
      <c r="F117" s="45"/>
      <c r="G117" s="45"/>
      <c r="H117" s="45">
        <v>76</v>
      </c>
    </row>
    <row r="118" spans="1:8">
      <c r="A118" s="44">
        <v>2015</v>
      </c>
      <c r="B118" s="44" t="s">
        <v>107</v>
      </c>
      <c r="C118" s="44" t="s">
        <v>44</v>
      </c>
      <c r="D118" s="44" t="s">
        <v>288</v>
      </c>
      <c r="E118" s="50">
        <v>612.96299999999997</v>
      </c>
      <c r="F118" s="44"/>
      <c r="G118" s="44"/>
      <c r="H118" s="44">
        <v>94</v>
      </c>
    </row>
    <row r="119" spans="1:8">
      <c r="A119" s="45">
        <v>2016</v>
      </c>
      <c r="B119" s="45" t="s">
        <v>107</v>
      </c>
      <c r="C119" s="45" t="s">
        <v>44</v>
      </c>
      <c r="D119" s="45" t="s">
        <v>288</v>
      </c>
      <c r="E119" s="49">
        <v>501.423</v>
      </c>
      <c r="F119" s="45"/>
      <c r="G119" s="45"/>
      <c r="H119" s="45">
        <v>77</v>
      </c>
    </row>
    <row r="120" spans="1:8">
      <c r="A120" s="44">
        <v>2017</v>
      </c>
      <c r="B120" s="44" t="s">
        <v>107</v>
      </c>
      <c r="C120" s="44" t="s">
        <v>44</v>
      </c>
      <c r="D120" s="44" t="s">
        <v>288</v>
      </c>
      <c r="E120" s="50">
        <v>457.31400000000002</v>
      </c>
      <c r="F120" s="44"/>
      <c r="G120" s="44"/>
      <c r="H120" s="44">
        <v>70</v>
      </c>
    </row>
    <row r="121" spans="1:8">
      <c r="A121" s="45">
        <v>2014</v>
      </c>
      <c r="B121" s="45" t="s">
        <v>107</v>
      </c>
      <c r="C121" s="45" t="s">
        <v>44</v>
      </c>
      <c r="D121" s="45" t="s">
        <v>289</v>
      </c>
      <c r="E121" s="49">
        <v>5682</v>
      </c>
      <c r="F121" s="45"/>
      <c r="G121" s="45"/>
      <c r="H121" s="45">
        <v>874</v>
      </c>
    </row>
    <row r="122" spans="1:8">
      <c r="A122" s="44">
        <v>2015</v>
      </c>
      <c r="B122" s="44" t="s">
        <v>107</v>
      </c>
      <c r="C122" s="44" t="s">
        <v>44</v>
      </c>
      <c r="D122" s="44" t="s">
        <v>289</v>
      </c>
      <c r="E122" s="50">
        <v>7157</v>
      </c>
      <c r="F122" s="44"/>
      <c r="G122" s="44"/>
      <c r="H122" s="44">
        <v>1101</v>
      </c>
    </row>
    <row r="123" spans="1:8">
      <c r="A123" s="45">
        <v>2016</v>
      </c>
      <c r="B123" s="45" t="s">
        <v>107</v>
      </c>
      <c r="C123" s="45" t="s">
        <v>44</v>
      </c>
      <c r="D123" s="45" t="s">
        <v>289</v>
      </c>
      <c r="E123" s="49">
        <v>5332</v>
      </c>
      <c r="F123" s="45"/>
      <c r="G123" s="45"/>
      <c r="H123" s="45">
        <v>820</v>
      </c>
    </row>
    <row r="124" spans="1:8">
      <c r="A124" s="44">
        <v>2017</v>
      </c>
      <c r="B124" s="44" t="s">
        <v>107</v>
      </c>
      <c r="C124" s="44" t="s">
        <v>44</v>
      </c>
      <c r="D124" s="44" t="s">
        <v>289</v>
      </c>
      <c r="E124" s="50">
        <v>4036</v>
      </c>
      <c r="F124" s="44"/>
      <c r="G124" s="44"/>
      <c r="H124" s="44">
        <v>620</v>
      </c>
    </row>
    <row r="125" spans="1:8">
      <c r="A125" s="45">
        <v>2014</v>
      </c>
      <c r="B125" s="45" t="s">
        <v>107</v>
      </c>
      <c r="C125" s="45" t="s">
        <v>43</v>
      </c>
      <c r="D125" s="45" t="s">
        <v>288</v>
      </c>
      <c r="E125" s="49">
        <v>485.60500000000002</v>
      </c>
      <c r="F125" s="45"/>
      <c r="G125" s="45"/>
      <c r="H125" s="45">
        <v>74</v>
      </c>
    </row>
    <row r="126" spans="1:8">
      <c r="A126" s="44">
        <v>2015</v>
      </c>
      <c r="B126" s="44" t="s">
        <v>107</v>
      </c>
      <c r="C126" s="44" t="s">
        <v>43</v>
      </c>
      <c r="D126" s="44" t="s">
        <v>288</v>
      </c>
      <c r="E126" s="50">
        <v>596.03700000000003</v>
      </c>
      <c r="F126" s="44"/>
      <c r="G126" s="44"/>
      <c r="H126" s="44">
        <v>91</v>
      </c>
    </row>
    <row r="127" spans="1:8">
      <c r="A127" s="45">
        <v>2016</v>
      </c>
      <c r="B127" s="45" t="s">
        <v>107</v>
      </c>
      <c r="C127" s="45" t="s">
        <v>43</v>
      </c>
      <c r="D127" s="45" t="s">
        <v>288</v>
      </c>
      <c r="E127" s="49">
        <v>487.577</v>
      </c>
      <c r="F127" s="45"/>
      <c r="G127" s="45"/>
      <c r="H127" s="45">
        <v>74</v>
      </c>
    </row>
    <row r="128" spans="1:8">
      <c r="A128" s="44">
        <v>2017</v>
      </c>
      <c r="B128" s="44" t="s">
        <v>107</v>
      </c>
      <c r="C128" s="44" t="s">
        <v>43</v>
      </c>
      <c r="D128" s="44" t="s">
        <v>288</v>
      </c>
      <c r="E128" s="50">
        <v>444.68599999999998</v>
      </c>
      <c r="F128" s="44"/>
      <c r="G128" s="44"/>
      <c r="H128" s="44">
        <v>68</v>
      </c>
    </row>
    <row r="129" spans="1:8">
      <c r="A129" s="45">
        <v>2014</v>
      </c>
      <c r="B129" s="45" t="s">
        <v>107</v>
      </c>
      <c r="C129" s="45" t="s">
        <v>43</v>
      </c>
      <c r="D129" s="45" t="s">
        <v>289</v>
      </c>
      <c r="E129" s="49">
        <v>9323</v>
      </c>
      <c r="F129" s="45"/>
      <c r="G129" s="45"/>
      <c r="H129" s="45">
        <v>1434</v>
      </c>
    </row>
    <row r="130" spans="1:8">
      <c r="A130" s="44">
        <v>2015</v>
      </c>
      <c r="B130" s="44" t="s">
        <v>107</v>
      </c>
      <c r="C130" s="44" t="s">
        <v>43</v>
      </c>
      <c r="D130" s="44" t="s">
        <v>289</v>
      </c>
      <c r="E130" s="50">
        <v>11891</v>
      </c>
      <c r="F130" s="44"/>
      <c r="G130" s="44"/>
      <c r="H130" s="44">
        <v>1829</v>
      </c>
    </row>
    <row r="131" spans="1:8">
      <c r="A131" s="45">
        <v>2016</v>
      </c>
      <c r="B131" s="45" t="s">
        <v>107</v>
      </c>
      <c r="C131" s="45" t="s">
        <v>43</v>
      </c>
      <c r="D131" s="45" t="s">
        <v>289</v>
      </c>
      <c r="E131" s="49">
        <v>9242</v>
      </c>
      <c r="F131" s="45"/>
      <c r="G131" s="45"/>
      <c r="H131" s="45">
        <v>1421</v>
      </c>
    </row>
    <row r="132" spans="1:8">
      <c r="A132" s="44">
        <v>2017</v>
      </c>
      <c r="B132" s="44" t="s">
        <v>107</v>
      </c>
      <c r="C132" s="44" t="s">
        <v>43</v>
      </c>
      <c r="D132" s="44" t="s">
        <v>289</v>
      </c>
      <c r="E132" s="50">
        <v>11422</v>
      </c>
      <c r="F132" s="44"/>
      <c r="G132" s="44"/>
      <c r="H132" s="44">
        <v>1756</v>
      </c>
    </row>
    <row r="133" spans="1:8">
      <c r="A133" s="45"/>
      <c r="B133" s="45"/>
      <c r="C133" s="45"/>
      <c r="D133" s="45"/>
      <c r="E133" s="45"/>
      <c r="F133" s="45"/>
      <c r="G133" s="45"/>
      <c r="H133" s="45"/>
    </row>
    <row r="134" spans="1:8">
      <c r="A134" s="44"/>
      <c r="B134" s="44"/>
      <c r="C134" s="44"/>
      <c r="D134" s="44"/>
      <c r="E134" s="44"/>
      <c r="F134" s="44"/>
      <c r="G134" s="44"/>
      <c r="H134" s="44"/>
    </row>
    <row r="135" spans="1:8">
      <c r="A135" s="45">
        <v>2014</v>
      </c>
      <c r="B135" s="45" t="s">
        <v>105</v>
      </c>
      <c r="C135" s="45" t="s">
        <v>44</v>
      </c>
      <c r="D135" s="45" t="s">
        <v>288</v>
      </c>
      <c r="E135" s="49">
        <v>791.93399999999997</v>
      </c>
      <c r="F135" s="49"/>
      <c r="G135" s="49"/>
      <c r="H135" s="49">
        <v>121</v>
      </c>
    </row>
    <row r="136" spans="1:8">
      <c r="A136" s="44">
        <v>2015</v>
      </c>
      <c r="B136" s="44" t="s">
        <v>105</v>
      </c>
      <c r="C136" s="44" t="s">
        <v>44</v>
      </c>
      <c r="D136" s="44" t="s">
        <v>288</v>
      </c>
      <c r="E136" s="50">
        <v>906.00900000000001</v>
      </c>
      <c r="F136" s="50"/>
      <c r="G136" s="50"/>
      <c r="H136" s="50">
        <v>139</v>
      </c>
    </row>
    <row r="137" spans="1:8">
      <c r="A137" s="45">
        <v>2016</v>
      </c>
      <c r="B137" s="45" t="s">
        <v>105</v>
      </c>
      <c r="C137" s="45" t="s">
        <v>44</v>
      </c>
      <c r="D137" s="45" t="s">
        <v>288</v>
      </c>
      <c r="E137" s="49">
        <v>1073.319</v>
      </c>
      <c r="F137" s="49"/>
      <c r="G137" s="49"/>
      <c r="H137" s="49">
        <v>165</v>
      </c>
    </row>
    <row r="138" spans="1:8">
      <c r="A138" s="44">
        <v>2017</v>
      </c>
      <c r="B138" s="44" t="s">
        <v>105</v>
      </c>
      <c r="C138" s="44" t="s">
        <v>44</v>
      </c>
      <c r="D138" s="44" t="s">
        <v>288</v>
      </c>
      <c r="E138" s="50">
        <v>971.41200000000003</v>
      </c>
      <c r="F138" s="50"/>
      <c r="G138" s="50"/>
      <c r="H138" s="50">
        <v>149</v>
      </c>
    </row>
    <row r="139" spans="1:8">
      <c r="A139" s="45">
        <v>2014</v>
      </c>
      <c r="B139" s="45" t="s">
        <v>105</v>
      </c>
      <c r="C139" s="45" t="s">
        <v>44</v>
      </c>
      <c r="D139" s="45" t="s">
        <v>289</v>
      </c>
      <c r="E139" s="49">
        <v>8928</v>
      </c>
      <c r="F139" s="49"/>
      <c r="G139" s="49"/>
      <c r="H139" s="49">
        <v>1373</v>
      </c>
    </row>
    <row r="140" spans="1:8">
      <c r="A140" s="44">
        <v>2015</v>
      </c>
      <c r="B140" s="44" t="s">
        <v>105</v>
      </c>
      <c r="C140" s="44" t="s">
        <v>44</v>
      </c>
      <c r="D140" s="44" t="s">
        <v>289</v>
      </c>
      <c r="E140" s="50">
        <v>10545</v>
      </c>
      <c r="F140" s="50"/>
      <c r="G140" s="50"/>
      <c r="H140" s="50">
        <v>1622</v>
      </c>
    </row>
    <row r="141" spans="1:8">
      <c r="A141" s="45">
        <v>2016</v>
      </c>
      <c r="B141" s="45" t="s">
        <v>105</v>
      </c>
      <c r="C141" s="45" t="s">
        <v>44</v>
      </c>
      <c r="D141" s="45" t="s">
        <v>289</v>
      </c>
      <c r="E141" s="49">
        <v>12583</v>
      </c>
      <c r="F141" s="49"/>
      <c r="G141" s="49"/>
      <c r="H141" s="49">
        <v>1935</v>
      </c>
    </row>
    <row r="142" spans="1:8">
      <c r="A142" s="44">
        <v>2017</v>
      </c>
      <c r="B142" s="44" t="s">
        <v>105</v>
      </c>
      <c r="C142" s="44" t="s">
        <v>44</v>
      </c>
      <c r="D142" s="44" t="s">
        <v>289</v>
      </c>
      <c r="E142" s="50">
        <v>12531</v>
      </c>
      <c r="F142" s="50"/>
      <c r="G142" s="50"/>
      <c r="H142" s="50">
        <v>1927</v>
      </c>
    </row>
    <row r="143" spans="1:8">
      <c r="A143" s="45">
        <v>2014</v>
      </c>
      <c r="B143" s="45" t="s">
        <v>105</v>
      </c>
      <c r="C143" s="45" t="s">
        <v>43</v>
      </c>
      <c r="D143" s="45" t="s">
        <v>288</v>
      </c>
      <c r="E143" s="49">
        <v>770.06600000000003</v>
      </c>
      <c r="F143" s="49"/>
      <c r="G143" s="49"/>
      <c r="H143" s="49">
        <v>118</v>
      </c>
    </row>
    <row r="144" spans="1:8">
      <c r="A144" s="44">
        <v>2015</v>
      </c>
      <c r="B144" s="44" t="s">
        <v>105</v>
      </c>
      <c r="C144" s="44" t="s">
        <v>43</v>
      </c>
      <c r="D144" s="44" t="s">
        <v>288</v>
      </c>
      <c r="E144" s="50">
        <v>880.99099999999999</v>
      </c>
      <c r="F144" s="50"/>
      <c r="G144" s="50"/>
      <c r="H144" s="50">
        <v>135</v>
      </c>
    </row>
    <row r="145" spans="1:8">
      <c r="A145" s="45">
        <v>2016</v>
      </c>
      <c r="B145" s="45" t="s">
        <v>105</v>
      </c>
      <c r="C145" s="45" t="s">
        <v>43</v>
      </c>
      <c r="D145" s="45" t="s">
        <v>288</v>
      </c>
      <c r="E145" s="49">
        <v>1043.681</v>
      </c>
      <c r="F145" s="49"/>
      <c r="G145" s="49"/>
      <c r="H145" s="49">
        <v>160</v>
      </c>
    </row>
    <row r="146" spans="1:8">
      <c r="A146" s="44">
        <v>2017</v>
      </c>
      <c r="B146" s="44" t="s">
        <v>105</v>
      </c>
      <c r="C146" s="44" t="s">
        <v>43</v>
      </c>
      <c r="D146" s="44" t="s">
        <v>288</v>
      </c>
      <c r="E146" s="50">
        <v>944.58799999999997</v>
      </c>
      <c r="F146" s="50"/>
      <c r="G146" s="50"/>
      <c r="H146" s="50">
        <v>145</v>
      </c>
    </row>
    <row r="147" spans="1:8">
      <c r="A147" s="45">
        <v>2014</v>
      </c>
      <c r="B147" s="45" t="s">
        <v>105</v>
      </c>
      <c r="C147" s="45" t="s">
        <v>43</v>
      </c>
      <c r="D147" s="45" t="s">
        <v>289</v>
      </c>
      <c r="E147" s="49">
        <v>14340</v>
      </c>
      <c r="F147" s="49"/>
      <c r="G147" s="49"/>
      <c r="H147" s="49">
        <v>2205</v>
      </c>
    </row>
    <row r="148" spans="1:8">
      <c r="A148" s="44">
        <v>2015</v>
      </c>
      <c r="B148" s="44" t="s">
        <v>105</v>
      </c>
      <c r="C148" s="44" t="s">
        <v>43</v>
      </c>
      <c r="D148" s="44" t="s">
        <v>289</v>
      </c>
      <c r="E148" s="50">
        <v>17523</v>
      </c>
      <c r="F148" s="50"/>
      <c r="G148" s="50"/>
      <c r="H148" s="50">
        <v>2695</v>
      </c>
    </row>
    <row r="149" spans="1:8">
      <c r="A149" s="45">
        <v>2016</v>
      </c>
      <c r="B149" s="45" t="s">
        <v>105</v>
      </c>
      <c r="C149" s="45" t="s">
        <v>43</v>
      </c>
      <c r="D149" s="45" t="s">
        <v>289</v>
      </c>
      <c r="E149" s="49">
        <v>20880</v>
      </c>
      <c r="F149" s="49"/>
      <c r="G149" s="49"/>
      <c r="H149" s="49">
        <v>3211</v>
      </c>
    </row>
    <row r="150" spans="1:8">
      <c r="A150" s="44">
        <v>2017</v>
      </c>
      <c r="B150" s="44" t="s">
        <v>105</v>
      </c>
      <c r="C150" s="44" t="s">
        <v>43</v>
      </c>
      <c r="D150" s="44" t="s">
        <v>289</v>
      </c>
      <c r="E150" s="50">
        <v>21620</v>
      </c>
      <c r="F150" s="50"/>
      <c r="G150" s="50"/>
      <c r="H150" s="50">
        <v>3325</v>
      </c>
    </row>
    <row r="151" spans="1:8">
      <c r="A151" s="45"/>
      <c r="B151" s="45"/>
      <c r="C151" s="45"/>
      <c r="D151" s="45"/>
      <c r="E151" s="45"/>
      <c r="F151" s="45"/>
      <c r="G151" s="45"/>
      <c r="H151" s="45"/>
    </row>
    <row r="152" spans="1:8">
      <c r="A152" s="44"/>
      <c r="B152" s="44"/>
      <c r="C152" s="44"/>
      <c r="D152" s="44"/>
      <c r="E152" s="44"/>
      <c r="F152" s="44"/>
      <c r="G152" s="44"/>
      <c r="H152" s="44"/>
    </row>
    <row r="153" spans="1:8">
      <c r="A153" s="45">
        <v>2014</v>
      </c>
      <c r="B153" s="45" t="s">
        <v>109</v>
      </c>
      <c r="C153" s="45" t="s">
        <v>44</v>
      </c>
      <c r="D153" s="45" t="s">
        <v>288</v>
      </c>
      <c r="E153" s="49">
        <v>801.56700000000001</v>
      </c>
      <c r="F153" s="49"/>
      <c r="G153" s="49"/>
      <c r="H153" s="49">
        <v>123</v>
      </c>
    </row>
    <row r="154" spans="1:8">
      <c r="A154" s="44">
        <v>2015</v>
      </c>
      <c r="B154" s="44" t="s">
        <v>109</v>
      </c>
      <c r="C154" s="44" t="s">
        <v>44</v>
      </c>
      <c r="D154" s="44" t="s">
        <v>288</v>
      </c>
      <c r="E154" s="50">
        <v>898.404</v>
      </c>
      <c r="F154" s="50"/>
      <c r="G154" s="50"/>
      <c r="H154" s="50">
        <v>138</v>
      </c>
    </row>
    <row r="155" spans="1:8">
      <c r="A155" s="45">
        <v>2016</v>
      </c>
      <c r="B155" s="45" t="s">
        <v>109</v>
      </c>
      <c r="C155" s="45" t="s">
        <v>44</v>
      </c>
      <c r="D155" s="45" t="s">
        <v>288</v>
      </c>
      <c r="E155" s="49">
        <v>1300.4549999999999</v>
      </c>
      <c r="F155" s="49"/>
      <c r="G155" s="49"/>
      <c r="H155" s="49">
        <v>200</v>
      </c>
    </row>
    <row r="156" spans="1:8">
      <c r="A156" s="44">
        <v>2017</v>
      </c>
      <c r="B156" s="44" t="s">
        <v>109</v>
      </c>
      <c r="C156" s="44" t="s">
        <v>44</v>
      </c>
      <c r="D156" s="44" t="s">
        <v>288</v>
      </c>
      <c r="E156" s="50">
        <v>747.31799999999998</v>
      </c>
      <c r="F156" s="50"/>
      <c r="G156" s="50"/>
      <c r="H156" s="50">
        <v>114</v>
      </c>
    </row>
    <row r="157" spans="1:8">
      <c r="A157" s="45">
        <v>2014</v>
      </c>
      <c r="B157" s="45" t="s">
        <v>109</v>
      </c>
      <c r="C157" s="45" t="s">
        <v>44</v>
      </c>
      <c r="D157" s="45" t="s">
        <v>289</v>
      </c>
      <c r="E157" s="49">
        <v>9035</v>
      </c>
      <c r="F157" s="49"/>
      <c r="G157" s="49"/>
      <c r="H157" s="49">
        <v>1389</v>
      </c>
    </row>
    <row r="158" spans="1:8">
      <c r="A158" s="44">
        <v>2015</v>
      </c>
      <c r="B158" s="44" t="s">
        <v>109</v>
      </c>
      <c r="C158" s="44" t="s">
        <v>44</v>
      </c>
      <c r="D158" s="44" t="s">
        <v>289</v>
      </c>
      <c r="E158" s="50">
        <v>11809</v>
      </c>
      <c r="F158" s="50"/>
      <c r="G158" s="50"/>
      <c r="H158" s="50">
        <v>1816</v>
      </c>
    </row>
    <row r="159" spans="1:8">
      <c r="A159" s="45">
        <v>2016</v>
      </c>
      <c r="B159" s="45" t="s">
        <v>109</v>
      </c>
      <c r="C159" s="45" t="s">
        <v>44</v>
      </c>
      <c r="D159" s="45" t="s">
        <v>289</v>
      </c>
      <c r="E159" s="49">
        <v>12399</v>
      </c>
      <c r="F159" s="49"/>
      <c r="G159" s="49"/>
      <c r="H159" s="49">
        <v>1907</v>
      </c>
    </row>
    <row r="160" spans="1:8">
      <c r="A160" s="44">
        <v>2017</v>
      </c>
      <c r="B160" s="44" t="s">
        <v>109</v>
      </c>
      <c r="C160" s="44" t="s">
        <v>44</v>
      </c>
      <c r="D160" s="44" t="s">
        <v>289</v>
      </c>
      <c r="E160" s="50">
        <v>11105</v>
      </c>
      <c r="F160" s="50"/>
      <c r="G160" s="50"/>
      <c r="H160" s="50">
        <v>1708</v>
      </c>
    </row>
    <row r="161" spans="1:8">
      <c r="A161" s="45">
        <v>2014</v>
      </c>
      <c r="B161" s="45" t="s">
        <v>109</v>
      </c>
      <c r="C161" s="45" t="s">
        <v>43</v>
      </c>
      <c r="D161" s="45" t="s">
        <v>288</v>
      </c>
      <c r="E161" s="49">
        <v>779.43299999999999</v>
      </c>
      <c r="F161" s="49"/>
      <c r="G161" s="49"/>
      <c r="H161" s="49">
        <v>120</v>
      </c>
    </row>
    <row r="162" spans="1:8">
      <c r="A162" s="44">
        <v>2015</v>
      </c>
      <c r="B162" s="44" t="s">
        <v>109</v>
      </c>
      <c r="C162" s="44" t="s">
        <v>43</v>
      </c>
      <c r="D162" s="44" t="s">
        <v>288</v>
      </c>
      <c r="E162" s="50">
        <v>873.596</v>
      </c>
      <c r="F162" s="50"/>
      <c r="G162" s="50"/>
      <c r="H162" s="50">
        <v>134</v>
      </c>
    </row>
    <row r="163" spans="1:8">
      <c r="A163" s="45">
        <v>2016</v>
      </c>
      <c r="B163" s="45" t="s">
        <v>109</v>
      </c>
      <c r="C163" s="45" t="s">
        <v>43</v>
      </c>
      <c r="D163" s="45" t="s">
        <v>288</v>
      </c>
      <c r="E163" s="49">
        <v>1264.5450000000001</v>
      </c>
      <c r="F163" s="49"/>
      <c r="G163" s="49"/>
      <c r="H163" s="49">
        <v>194</v>
      </c>
    </row>
    <row r="164" spans="1:8">
      <c r="A164" s="44">
        <v>2017</v>
      </c>
      <c r="B164" s="44" t="s">
        <v>109</v>
      </c>
      <c r="C164" s="44" t="s">
        <v>43</v>
      </c>
      <c r="D164" s="44" t="s">
        <v>288</v>
      </c>
      <c r="E164" s="50">
        <v>726.68200000000002</v>
      </c>
      <c r="F164" s="50"/>
      <c r="G164" s="50"/>
      <c r="H164" s="50">
        <v>111</v>
      </c>
    </row>
    <row r="165" spans="1:8">
      <c r="A165" s="45">
        <v>2014</v>
      </c>
      <c r="B165" s="45" t="s">
        <v>109</v>
      </c>
      <c r="C165" s="45" t="s">
        <v>43</v>
      </c>
      <c r="D165" s="45" t="s">
        <v>289</v>
      </c>
      <c r="E165" s="49">
        <v>13688</v>
      </c>
      <c r="F165" s="49"/>
      <c r="G165" s="49"/>
      <c r="H165" s="49">
        <v>2105</v>
      </c>
    </row>
    <row r="166" spans="1:8">
      <c r="A166" s="44">
        <v>2015</v>
      </c>
      <c r="B166" s="44" t="s">
        <v>109</v>
      </c>
      <c r="C166" s="44" t="s">
        <v>43</v>
      </c>
      <c r="D166" s="44" t="s">
        <v>289</v>
      </c>
      <c r="E166" s="50">
        <v>16271</v>
      </c>
      <c r="F166" s="50"/>
      <c r="G166" s="50"/>
      <c r="H166" s="50">
        <v>2502</v>
      </c>
    </row>
    <row r="167" spans="1:8">
      <c r="A167" s="45">
        <v>2016</v>
      </c>
      <c r="B167" s="45" t="s">
        <v>109</v>
      </c>
      <c r="C167" s="45" t="s">
        <v>43</v>
      </c>
      <c r="D167" s="45" t="s">
        <v>289</v>
      </c>
      <c r="E167" s="49">
        <v>17142</v>
      </c>
      <c r="F167" s="49"/>
      <c r="G167" s="49"/>
      <c r="H167" s="49">
        <v>2636</v>
      </c>
    </row>
    <row r="168" spans="1:8">
      <c r="A168" s="44">
        <v>2017</v>
      </c>
      <c r="B168" s="44" t="s">
        <v>109</v>
      </c>
      <c r="C168" s="44" t="s">
        <v>43</v>
      </c>
      <c r="D168" s="44" t="s">
        <v>289</v>
      </c>
      <c r="E168" s="50">
        <v>17568</v>
      </c>
      <c r="F168" s="50"/>
      <c r="G168" s="50"/>
      <c r="H168" s="50">
        <v>2702</v>
      </c>
    </row>
    <row r="169" spans="1:8">
      <c r="A169" s="45"/>
      <c r="B169" s="45"/>
      <c r="C169" s="45"/>
      <c r="D169" s="45"/>
      <c r="E169" s="45"/>
      <c r="F169" s="45"/>
      <c r="G169" s="45"/>
      <c r="H169" s="45"/>
    </row>
    <row r="170" spans="1:8">
      <c r="A170" s="44"/>
      <c r="B170" s="44"/>
      <c r="C170" s="44"/>
      <c r="D170" s="44"/>
      <c r="E170" s="44"/>
      <c r="F170" s="44"/>
      <c r="G170" s="44"/>
      <c r="H170" s="44"/>
    </row>
    <row r="171" spans="1:8">
      <c r="A171" s="45">
        <v>2014</v>
      </c>
      <c r="B171" s="45" t="s">
        <v>104</v>
      </c>
      <c r="C171" s="45" t="s">
        <v>44</v>
      </c>
      <c r="D171" s="45" t="s">
        <v>288</v>
      </c>
      <c r="E171" s="49">
        <v>2326.116</v>
      </c>
      <c r="F171" s="49"/>
      <c r="G171" s="49"/>
      <c r="H171" s="49">
        <v>357</v>
      </c>
    </row>
    <row r="172" spans="1:8">
      <c r="A172" s="44">
        <v>2015</v>
      </c>
      <c r="B172" s="44" t="s">
        <v>104</v>
      </c>
      <c r="C172" s="44" t="s">
        <v>44</v>
      </c>
      <c r="D172" s="44" t="s">
        <v>288</v>
      </c>
      <c r="E172" s="50">
        <v>2543.1120000000001</v>
      </c>
      <c r="F172" s="50"/>
      <c r="G172" s="50"/>
      <c r="H172" s="50">
        <v>391</v>
      </c>
    </row>
    <row r="173" spans="1:8">
      <c r="A173" s="45">
        <v>2016</v>
      </c>
      <c r="B173" s="45" t="s">
        <v>104</v>
      </c>
      <c r="C173" s="45" t="s">
        <v>44</v>
      </c>
      <c r="D173" s="45" t="s">
        <v>288</v>
      </c>
      <c r="E173" s="49">
        <v>2611.5570000000002</v>
      </c>
      <c r="F173" s="49"/>
      <c r="G173" s="49"/>
      <c r="H173" s="49">
        <v>401</v>
      </c>
    </row>
    <row r="174" spans="1:8">
      <c r="A174" s="44">
        <v>2017</v>
      </c>
      <c r="B174" s="44" t="s">
        <v>104</v>
      </c>
      <c r="C174" s="44" t="s">
        <v>44</v>
      </c>
      <c r="D174" s="44" t="s">
        <v>288</v>
      </c>
      <c r="E174" s="50">
        <v>1976.2860000000001</v>
      </c>
      <c r="F174" s="50"/>
      <c r="G174" s="50"/>
      <c r="H174" s="50">
        <v>303</v>
      </c>
    </row>
    <row r="175" spans="1:8">
      <c r="A175" s="45">
        <v>2014</v>
      </c>
      <c r="B175" s="45" t="s">
        <v>104</v>
      </c>
      <c r="C175" s="45" t="s">
        <v>44</v>
      </c>
      <c r="D175" s="45" t="s">
        <v>289</v>
      </c>
      <c r="E175" s="49">
        <v>23187</v>
      </c>
      <c r="F175" s="49"/>
      <c r="G175" s="49"/>
      <c r="H175" s="49">
        <v>3566</v>
      </c>
    </row>
    <row r="176" spans="1:8">
      <c r="A176" s="44">
        <v>2015</v>
      </c>
      <c r="B176" s="44" t="s">
        <v>104</v>
      </c>
      <c r="C176" s="44" t="s">
        <v>44</v>
      </c>
      <c r="D176" s="44" t="s">
        <v>289</v>
      </c>
      <c r="E176" s="50">
        <v>24839</v>
      </c>
      <c r="F176" s="50"/>
      <c r="G176" s="50"/>
      <c r="H176" s="50">
        <v>3820</v>
      </c>
    </row>
    <row r="177" spans="1:8">
      <c r="A177" s="45">
        <v>2016</v>
      </c>
      <c r="B177" s="45" t="s">
        <v>104</v>
      </c>
      <c r="C177" s="45" t="s">
        <v>44</v>
      </c>
      <c r="D177" s="45" t="s">
        <v>289</v>
      </c>
      <c r="E177" s="49">
        <v>25101</v>
      </c>
      <c r="F177" s="49"/>
      <c r="G177" s="49"/>
      <c r="H177" s="49">
        <v>3860</v>
      </c>
    </row>
    <row r="178" spans="1:8">
      <c r="A178" s="44">
        <v>2017</v>
      </c>
      <c r="B178" s="44" t="s">
        <v>104</v>
      </c>
      <c r="C178" s="44" t="s">
        <v>44</v>
      </c>
      <c r="D178" s="44" t="s">
        <v>289</v>
      </c>
      <c r="E178" s="50">
        <v>25594</v>
      </c>
      <c r="F178" s="50"/>
      <c r="G178" s="50"/>
      <c r="H178" s="50">
        <v>3936</v>
      </c>
    </row>
    <row r="179" spans="1:8">
      <c r="A179" s="45">
        <v>2014</v>
      </c>
      <c r="B179" s="45" t="s">
        <v>104</v>
      </c>
      <c r="C179" s="45" t="s">
        <v>43</v>
      </c>
      <c r="D179" s="45" t="s">
        <v>288</v>
      </c>
      <c r="E179" s="49">
        <v>2261.884</v>
      </c>
      <c r="F179" s="49"/>
      <c r="G179" s="49"/>
      <c r="H179" s="49">
        <v>348</v>
      </c>
    </row>
    <row r="180" spans="1:8">
      <c r="A180" s="44">
        <v>2015</v>
      </c>
      <c r="B180" s="44" t="s">
        <v>104</v>
      </c>
      <c r="C180" s="44" t="s">
        <v>43</v>
      </c>
      <c r="D180" s="44" t="s">
        <v>288</v>
      </c>
      <c r="E180" s="50">
        <v>2472.8879999999999</v>
      </c>
      <c r="F180" s="50"/>
      <c r="G180" s="50"/>
      <c r="H180" s="50">
        <v>380</v>
      </c>
    </row>
    <row r="181" spans="1:8">
      <c r="A181" s="45">
        <v>2016</v>
      </c>
      <c r="B181" s="45" t="s">
        <v>104</v>
      </c>
      <c r="C181" s="45" t="s">
        <v>43</v>
      </c>
      <c r="D181" s="45" t="s">
        <v>288</v>
      </c>
      <c r="E181" s="49">
        <v>2539.4429999999998</v>
      </c>
      <c r="F181" s="49"/>
      <c r="G181" s="49"/>
      <c r="H181" s="49">
        <v>390</v>
      </c>
    </row>
    <row r="182" spans="1:8">
      <c r="A182" s="44">
        <v>2017</v>
      </c>
      <c r="B182" s="44" t="s">
        <v>104</v>
      </c>
      <c r="C182" s="44" t="s">
        <v>43</v>
      </c>
      <c r="D182" s="44" t="s">
        <v>288</v>
      </c>
      <c r="E182" s="50">
        <v>1921.7139999999999</v>
      </c>
      <c r="F182" s="50"/>
      <c r="G182" s="50"/>
      <c r="H182" s="50">
        <v>295</v>
      </c>
    </row>
    <row r="183" spans="1:8">
      <c r="A183" s="45">
        <v>2014</v>
      </c>
      <c r="B183" s="45" t="s">
        <v>104</v>
      </c>
      <c r="C183" s="45" t="s">
        <v>43</v>
      </c>
      <c r="D183" s="45" t="s">
        <v>289</v>
      </c>
      <c r="E183" s="49">
        <v>35855</v>
      </c>
      <c r="F183" s="49"/>
      <c r="G183" s="49"/>
      <c r="H183" s="49">
        <v>5514</v>
      </c>
    </row>
    <row r="184" spans="1:8">
      <c r="A184" s="44">
        <v>2015</v>
      </c>
      <c r="B184" s="44" t="s">
        <v>104</v>
      </c>
      <c r="C184" s="44" t="s">
        <v>43</v>
      </c>
      <c r="D184" s="44" t="s">
        <v>289</v>
      </c>
      <c r="E184" s="50">
        <v>40498</v>
      </c>
      <c r="F184" s="50"/>
      <c r="G184" s="50"/>
      <c r="H184" s="50">
        <v>6229</v>
      </c>
    </row>
    <row r="185" spans="1:8">
      <c r="A185" s="45">
        <v>2016</v>
      </c>
      <c r="B185" s="45" t="s">
        <v>104</v>
      </c>
      <c r="C185" s="45" t="s">
        <v>43</v>
      </c>
      <c r="D185" s="45" t="s">
        <v>289</v>
      </c>
      <c r="E185" s="49">
        <v>40807</v>
      </c>
      <c r="F185" s="49"/>
      <c r="G185" s="49"/>
      <c r="H185" s="49">
        <v>6276</v>
      </c>
    </row>
    <row r="186" spans="1:8">
      <c r="A186" s="44">
        <v>2017</v>
      </c>
      <c r="B186" s="44" t="s">
        <v>104</v>
      </c>
      <c r="C186" s="44" t="s">
        <v>43</v>
      </c>
      <c r="D186" s="44" t="s">
        <v>289</v>
      </c>
      <c r="E186" s="50">
        <v>46420</v>
      </c>
      <c r="F186" s="50"/>
      <c r="G186" s="50"/>
      <c r="H186" s="50">
        <v>7139</v>
      </c>
    </row>
    <row r="187" spans="1:8">
      <c r="A187" s="45"/>
      <c r="B187" s="45"/>
      <c r="C187" s="45"/>
      <c r="D187" s="45"/>
      <c r="E187" s="45"/>
      <c r="F187" s="45"/>
      <c r="G187" s="45"/>
      <c r="H187" s="45"/>
    </row>
    <row r="188" spans="1:8">
      <c r="A188" s="44"/>
      <c r="B188" s="44"/>
      <c r="C188" s="44"/>
      <c r="D188" s="44"/>
      <c r="E188" s="44"/>
      <c r="F188" s="44"/>
      <c r="G188" s="44"/>
      <c r="H188" s="44"/>
    </row>
    <row r="189" spans="1:8">
      <c r="A189" s="45"/>
      <c r="B189" s="45"/>
      <c r="C189" s="45"/>
      <c r="D189" s="45"/>
      <c r="E189" s="45"/>
      <c r="F189" s="45"/>
      <c r="G189" s="45"/>
      <c r="H189" s="45"/>
    </row>
    <row r="190" spans="1:8">
      <c r="A190" s="44"/>
      <c r="B190" s="44"/>
      <c r="C190" s="44"/>
      <c r="D190" s="44"/>
      <c r="E190" s="44"/>
      <c r="F190" s="44"/>
      <c r="G190" s="44"/>
      <c r="H190" s="44"/>
    </row>
    <row r="191" spans="1:8">
      <c r="A191" s="45"/>
      <c r="B191" s="45"/>
      <c r="C191" s="45"/>
      <c r="D191" s="45"/>
      <c r="E191" s="45"/>
      <c r="F191" s="45"/>
      <c r="G191" s="45"/>
      <c r="H191" s="45"/>
    </row>
    <row r="192" spans="1:8">
      <c r="A192" s="44"/>
      <c r="B192" s="44"/>
      <c r="C192" s="44"/>
      <c r="D192" s="44"/>
      <c r="E192" s="44"/>
      <c r="F192" s="44"/>
      <c r="G192" s="44"/>
      <c r="H192" s="44"/>
    </row>
    <row r="193" spans="1:8">
      <c r="A193" s="45"/>
      <c r="B193" s="45"/>
      <c r="C193" s="45"/>
      <c r="D193" s="45"/>
      <c r="E193" s="45"/>
      <c r="F193" s="45"/>
      <c r="G193" s="45"/>
      <c r="H193" s="45"/>
    </row>
    <row r="194" spans="1:8">
      <c r="A194" s="44"/>
      <c r="B194" s="44"/>
      <c r="C194" s="44"/>
      <c r="D194" s="44"/>
      <c r="E194" s="44"/>
      <c r="F194" s="44"/>
      <c r="G194" s="44"/>
      <c r="H194" s="44"/>
    </row>
    <row r="195" spans="1:8">
      <c r="A195" s="45"/>
      <c r="B195" s="45"/>
      <c r="C195" s="45"/>
      <c r="D195" s="45"/>
      <c r="E195" s="45"/>
      <c r="F195" s="45"/>
      <c r="G195" s="45"/>
      <c r="H195" s="45"/>
    </row>
    <row r="196" spans="1:8">
      <c r="A196" s="44"/>
      <c r="B196" s="44"/>
      <c r="C196" s="44"/>
      <c r="D196" s="44"/>
      <c r="E196" s="44"/>
      <c r="F196" s="44"/>
      <c r="G196" s="44"/>
      <c r="H196" s="44"/>
    </row>
    <row r="197" spans="1:8">
      <c r="A197" s="45"/>
      <c r="B197" s="45"/>
      <c r="C197" s="45"/>
      <c r="D197" s="45"/>
      <c r="E197" s="45"/>
      <c r="F197" s="45"/>
      <c r="G197" s="45"/>
      <c r="H197" s="45"/>
    </row>
    <row r="198" spans="1:8">
      <c r="A198" s="44"/>
      <c r="B198" s="44"/>
      <c r="C198" s="44"/>
      <c r="D198" s="44"/>
      <c r="E198" s="44"/>
      <c r="F198" s="44"/>
      <c r="G198" s="44"/>
      <c r="H198" s="44"/>
    </row>
    <row r="199" spans="1:8">
      <c r="A199" s="45"/>
      <c r="B199" s="45"/>
      <c r="C199" s="45"/>
      <c r="D199" s="45"/>
      <c r="E199" s="45"/>
      <c r="F199" s="45"/>
      <c r="G199" s="45"/>
      <c r="H199" s="45"/>
    </row>
    <row r="200" spans="1:8">
      <c r="A200" s="44"/>
      <c r="B200" s="44"/>
      <c r="C200" s="44"/>
      <c r="D200" s="44"/>
      <c r="E200" s="44"/>
      <c r="F200" s="44"/>
      <c r="G200" s="44"/>
      <c r="H200" s="44"/>
    </row>
    <row r="201" spans="1:8">
      <c r="A201" s="45"/>
      <c r="B201" s="45"/>
      <c r="C201" s="45"/>
      <c r="D201" s="45"/>
      <c r="E201" s="45"/>
      <c r="F201" s="45"/>
      <c r="G201" s="45"/>
      <c r="H201" s="45"/>
    </row>
    <row r="202" spans="1:8">
      <c r="A202" s="44"/>
      <c r="B202" s="44"/>
      <c r="C202" s="44"/>
      <c r="D202" s="44"/>
      <c r="E202" s="44"/>
      <c r="F202" s="44"/>
      <c r="G202" s="44"/>
      <c r="H202" s="44"/>
    </row>
    <row r="203" spans="1:8">
      <c r="A203" s="45"/>
      <c r="B203" s="45"/>
      <c r="C203" s="45"/>
      <c r="D203" s="45"/>
      <c r="E203" s="45"/>
      <c r="F203" s="45"/>
      <c r="G203" s="45"/>
      <c r="H203" s="45"/>
    </row>
    <row r="204" spans="1:8">
      <c r="A204" s="44"/>
      <c r="B204" s="44"/>
      <c r="C204" s="44"/>
      <c r="D204" s="44"/>
      <c r="E204" s="44"/>
      <c r="F204" s="44"/>
      <c r="G204" s="44"/>
      <c r="H204" s="44"/>
    </row>
    <row r="205" spans="1:8">
      <c r="A205" s="45"/>
      <c r="B205" s="45"/>
      <c r="C205" s="45"/>
      <c r="D205" s="45"/>
      <c r="E205" s="45"/>
      <c r="F205" s="45"/>
      <c r="G205" s="45"/>
      <c r="H205" s="45"/>
    </row>
    <row r="206" spans="1:8">
      <c r="A206" s="44"/>
      <c r="B206" s="44"/>
      <c r="C206" s="44"/>
      <c r="D206" s="44"/>
      <c r="E206" s="44"/>
      <c r="F206" s="44"/>
      <c r="G206" s="44"/>
      <c r="H206" s="44"/>
    </row>
    <row r="207" spans="1:8">
      <c r="A207" s="45"/>
      <c r="B207" s="45"/>
      <c r="C207" s="45"/>
      <c r="D207" s="45"/>
      <c r="E207" s="45"/>
      <c r="F207" s="45"/>
      <c r="G207" s="45"/>
      <c r="H207" s="45"/>
    </row>
    <row r="208" spans="1:8">
      <c r="A208" s="44"/>
      <c r="B208" s="44"/>
      <c r="C208" s="44"/>
      <c r="D208" s="44"/>
      <c r="E208" s="44"/>
      <c r="F208" s="44"/>
      <c r="G208" s="44"/>
      <c r="H208" s="44"/>
    </row>
    <row r="209" spans="1:8">
      <c r="A209" s="45"/>
      <c r="B209" s="45"/>
      <c r="C209" s="45"/>
      <c r="D209" s="45"/>
      <c r="E209" s="45"/>
      <c r="F209" s="45"/>
      <c r="G209" s="45"/>
      <c r="H209" s="45"/>
    </row>
    <row r="210" spans="1:8">
      <c r="A210" s="44"/>
      <c r="B210" s="44"/>
      <c r="C210" s="44"/>
      <c r="D210" s="44"/>
      <c r="E210" s="44"/>
      <c r="F210" s="44"/>
      <c r="G210" s="44"/>
      <c r="H210" s="44"/>
    </row>
    <row r="211" spans="1:8">
      <c r="A211" s="45"/>
      <c r="B211" s="45"/>
      <c r="C211" s="45"/>
      <c r="D211" s="45"/>
      <c r="E211" s="45"/>
      <c r="F211" s="45"/>
      <c r="G211" s="45"/>
      <c r="H211" s="45"/>
    </row>
    <row r="212" spans="1:8">
      <c r="A212" s="44"/>
      <c r="B212" s="44"/>
      <c r="C212" s="44"/>
      <c r="D212" s="44"/>
      <c r="E212" s="44"/>
      <c r="F212" s="44"/>
      <c r="G212" s="44"/>
      <c r="H212" s="44"/>
    </row>
    <row r="213" spans="1:8">
      <c r="A213" s="45"/>
      <c r="B213" s="45"/>
      <c r="C213" s="45"/>
      <c r="D213" s="45"/>
      <c r="E213" s="45"/>
      <c r="F213" s="45"/>
      <c r="G213" s="45"/>
      <c r="H213" s="45"/>
    </row>
    <row r="214" spans="1:8">
      <c r="A214" s="44"/>
      <c r="B214" s="44"/>
      <c r="C214" s="44"/>
      <c r="D214" s="44"/>
      <c r="E214" s="44"/>
      <c r="F214" s="44"/>
      <c r="G214" s="44"/>
      <c r="H214" s="44"/>
    </row>
    <row r="215" spans="1:8">
      <c r="A215" s="45"/>
      <c r="B215" s="45"/>
      <c r="C215" s="45"/>
      <c r="D215" s="45"/>
      <c r="E215" s="45"/>
      <c r="F215" s="45"/>
      <c r="G215" s="45"/>
      <c r="H215" s="45"/>
    </row>
    <row r="216" spans="1:8">
      <c r="A216" s="44"/>
      <c r="B216" s="44"/>
      <c r="C216" s="44"/>
      <c r="D216" s="44"/>
      <c r="E216" s="44"/>
      <c r="F216" s="44"/>
      <c r="G216" s="44"/>
      <c r="H216" s="44"/>
    </row>
    <row r="217" spans="1:8">
      <c r="A217" s="45"/>
      <c r="B217" s="45"/>
      <c r="C217" s="45"/>
      <c r="D217" s="45"/>
      <c r="E217" s="45"/>
      <c r="F217" s="45"/>
      <c r="G217" s="45"/>
      <c r="H217" s="45"/>
    </row>
    <row r="218" spans="1:8">
      <c r="A218" s="44"/>
      <c r="B218" s="44"/>
      <c r="C218" s="44"/>
      <c r="D218" s="44"/>
      <c r="E218" s="44"/>
      <c r="F218" s="44"/>
      <c r="G218" s="44"/>
      <c r="H218" s="44"/>
    </row>
    <row r="219" spans="1:8">
      <c r="A219" s="45"/>
      <c r="B219" s="45"/>
      <c r="C219" s="45"/>
      <c r="D219" s="45"/>
      <c r="E219" s="45"/>
      <c r="F219" s="45"/>
      <c r="G219" s="45"/>
      <c r="H219" s="45"/>
    </row>
    <row r="220" spans="1:8">
      <c r="A220" s="44"/>
      <c r="B220" s="44"/>
      <c r="C220" s="44"/>
      <c r="D220" s="44"/>
      <c r="E220" s="44"/>
      <c r="F220" s="44"/>
      <c r="G220" s="44"/>
      <c r="H220" s="44"/>
    </row>
    <row r="221" spans="1:8">
      <c r="A221" s="45"/>
      <c r="B221" s="45"/>
      <c r="C221" s="45"/>
      <c r="D221" s="45"/>
      <c r="E221" s="45"/>
      <c r="F221" s="45"/>
      <c r="G221" s="45"/>
      <c r="H221" s="45"/>
    </row>
    <row r="222" spans="1:8">
      <c r="A222" s="44"/>
      <c r="B222" s="44"/>
      <c r="C222" s="44"/>
      <c r="D222" s="44"/>
      <c r="E222" s="44"/>
      <c r="F222" s="44"/>
      <c r="G222" s="44"/>
      <c r="H222" s="44"/>
    </row>
    <row r="223" spans="1:8">
      <c r="A223" s="45"/>
      <c r="B223" s="45"/>
      <c r="C223" s="45"/>
      <c r="D223" s="45"/>
      <c r="E223" s="45"/>
      <c r="F223" s="45"/>
      <c r="G223" s="45"/>
      <c r="H223" s="45"/>
    </row>
    <row r="224" spans="1:8">
      <c r="A224" s="44"/>
      <c r="B224" s="44"/>
      <c r="C224" s="44"/>
      <c r="D224" s="44"/>
      <c r="E224" s="44"/>
      <c r="F224" s="44"/>
      <c r="G224" s="44"/>
      <c r="H224" s="44"/>
    </row>
    <row r="225" spans="1:8">
      <c r="A225" s="45"/>
      <c r="B225" s="45"/>
      <c r="C225" s="45"/>
      <c r="D225" s="45"/>
      <c r="E225" s="45"/>
      <c r="F225" s="45"/>
      <c r="G225" s="45"/>
      <c r="H225" s="45"/>
    </row>
    <row r="226" spans="1:8">
      <c r="A226" s="44"/>
      <c r="B226" s="44"/>
      <c r="C226" s="44"/>
      <c r="D226" s="44"/>
      <c r="E226" s="44"/>
      <c r="F226" s="44"/>
      <c r="G226" s="44"/>
      <c r="H226" s="44"/>
    </row>
    <row r="227" spans="1:8">
      <c r="A227" s="45"/>
      <c r="B227" s="45"/>
      <c r="C227" s="45"/>
      <c r="D227" s="45"/>
      <c r="E227" s="45"/>
      <c r="F227" s="45"/>
      <c r="G227" s="45"/>
      <c r="H227" s="45"/>
    </row>
    <row r="228" spans="1:8">
      <c r="A228" s="44"/>
      <c r="B228" s="44"/>
      <c r="C228" s="44"/>
      <c r="D228" s="44"/>
      <c r="E228" s="44"/>
      <c r="F228" s="44"/>
      <c r="G228" s="44"/>
      <c r="H228" s="44"/>
    </row>
    <row r="229" spans="1:8">
      <c r="A229" s="45"/>
      <c r="B229" s="45"/>
      <c r="C229" s="45"/>
      <c r="D229" s="45"/>
      <c r="E229" s="45"/>
      <c r="F229" s="45"/>
      <c r="G229" s="45"/>
      <c r="H229" s="45"/>
    </row>
    <row r="230" spans="1:8">
      <c r="A230" s="44"/>
      <c r="B230" s="44"/>
      <c r="C230" s="44"/>
      <c r="D230" s="44"/>
      <c r="E230" s="44"/>
      <c r="F230" s="44"/>
      <c r="G230" s="44"/>
      <c r="H230" s="44"/>
    </row>
    <row r="231" spans="1:8">
      <c r="A231" s="45"/>
      <c r="B231" s="45"/>
      <c r="C231" s="45"/>
      <c r="D231" s="45"/>
      <c r="E231" s="45"/>
      <c r="F231" s="45"/>
      <c r="G231" s="45"/>
      <c r="H231" s="45"/>
    </row>
    <row r="232" spans="1:8">
      <c r="A232" s="44"/>
      <c r="B232" s="44"/>
      <c r="C232" s="44"/>
      <c r="D232" s="44"/>
      <c r="E232" s="44"/>
      <c r="F232" s="44"/>
      <c r="G232" s="44"/>
      <c r="H232" s="44"/>
    </row>
    <row r="233" spans="1:8">
      <c r="A233" s="45"/>
      <c r="B233" s="45"/>
      <c r="C233" s="45"/>
      <c r="D233" s="45"/>
      <c r="E233" s="45"/>
      <c r="F233" s="45"/>
      <c r="G233" s="45"/>
      <c r="H233" s="45"/>
    </row>
    <row r="234" spans="1:8">
      <c r="A234" s="44"/>
      <c r="B234" s="44"/>
      <c r="C234" s="44"/>
      <c r="D234" s="44"/>
      <c r="E234" s="44"/>
      <c r="F234" s="44"/>
      <c r="G234" s="44"/>
      <c r="H234" s="44"/>
    </row>
    <row r="235" spans="1:8">
      <c r="A235" s="45"/>
      <c r="B235" s="45"/>
      <c r="C235" s="45"/>
      <c r="D235" s="45"/>
      <c r="E235" s="45"/>
      <c r="F235" s="45"/>
      <c r="G235" s="45"/>
      <c r="H235" s="45"/>
    </row>
    <row r="236" spans="1:8">
      <c r="A236" s="44"/>
      <c r="B236" s="44"/>
      <c r="C236" s="44"/>
      <c r="D236" s="44"/>
      <c r="E236" s="44"/>
      <c r="F236" s="44"/>
      <c r="G236" s="44"/>
      <c r="H236" s="44"/>
    </row>
    <row r="237" spans="1:8">
      <c r="A237" s="45"/>
      <c r="B237" s="45"/>
      <c r="C237" s="45"/>
      <c r="D237" s="45"/>
      <c r="E237" s="45"/>
      <c r="F237" s="45"/>
      <c r="G237" s="45"/>
      <c r="H237" s="45"/>
    </row>
    <row r="238" spans="1:8">
      <c r="A238" s="44"/>
      <c r="B238" s="44"/>
      <c r="C238" s="44"/>
      <c r="D238" s="44"/>
      <c r="E238" s="44"/>
      <c r="F238" s="44"/>
      <c r="G238" s="44"/>
      <c r="H238" s="44"/>
    </row>
    <row r="239" spans="1:8">
      <c r="A239" s="45"/>
      <c r="B239" s="45"/>
      <c r="C239" s="45"/>
      <c r="D239" s="45"/>
      <c r="E239" s="45"/>
      <c r="F239" s="45"/>
      <c r="G239" s="45"/>
      <c r="H239" s="45"/>
    </row>
    <row r="240" spans="1:8">
      <c r="A240" s="44"/>
      <c r="B240" s="44"/>
      <c r="C240" s="44"/>
      <c r="D240" s="44"/>
      <c r="E240" s="44"/>
      <c r="F240" s="44"/>
      <c r="G240" s="44"/>
      <c r="H240" s="44"/>
    </row>
    <row r="241" spans="1:8">
      <c r="A241" s="45"/>
      <c r="B241" s="45"/>
      <c r="C241" s="45"/>
      <c r="D241" s="45"/>
      <c r="E241" s="45"/>
      <c r="F241" s="45"/>
      <c r="G241" s="45"/>
      <c r="H241" s="45"/>
    </row>
    <row r="242" spans="1:8">
      <c r="A242" s="44"/>
      <c r="B242" s="44"/>
      <c r="C242" s="44"/>
      <c r="D242" s="44"/>
      <c r="E242" s="44"/>
      <c r="F242" s="44"/>
      <c r="G242" s="44"/>
      <c r="H242" s="44"/>
    </row>
    <row r="243" spans="1:8">
      <c r="A243" s="45"/>
      <c r="B243" s="45"/>
      <c r="C243" s="45"/>
      <c r="D243" s="45"/>
      <c r="E243" s="45"/>
      <c r="F243" s="45"/>
      <c r="G243" s="45"/>
      <c r="H243" s="45"/>
    </row>
    <row r="244" spans="1:8">
      <c r="A244" s="44"/>
      <c r="B244" s="44"/>
      <c r="C244" s="44"/>
      <c r="D244" s="44"/>
      <c r="E244" s="44"/>
      <c r="F244" s="44"/>
      <c r="G244" s="44"/>
      <c r="H244" s="44"/>
    </row>
    <row r="245" spans="1:8">
      <c r="A245" s="45"/>
      <c r="B245" s="45"/>
      <c r="C245" s="45"/>
      <c r="D245" s="45"/>
      <c r="E245" s="45"/>
      <c r="F245" s="45"/>
      <c r="G245" s="45"/>
      <c r="H245" s="45"/>
    </row>
    <row r="246" spans="1:8">
      <c r="A246" s="44"/>
      <c r="B246" s="44"/>
      <c r="C246" s="44"/>
      <c r="D246" s="44"/>
      <c r="E246" s="44"/>
      <c r="F246" s="44"/>
      <c r="G246" s="44"/>
      <c r="H246" s="44"/>
    </row>
    <row r="247" spans="1:8">
      <c r="A247" s="45"/>
      <c r="B247" s="45"/>
      <c r="C247" s="45"/>
      <c r="D247" s="45"/>
      <c r="E247" s="45"/>
      <c r="F247" s="45"/>
      <c r="G247" s="45"/>
      <c r="H247" s="45"/>
    </row>
    <row r="248" spans="1:8">
      <c r="A248" s="44"/>
      <c r="B248" s="44"/>
      <c r="C248" s="44"/>
      <c r="D248" s="44"/>
      <c r="E248" s="44"/>
      <c r="F248" s="44"/>
      <c r="G248" s="44"/>
      <c r="H248" s="44"/>
    </row>
    <row r="249" spans="1:8">
      <c r="A249" s="45"/>
      <c r="B249" s="45"/>
      <c r="C249" s="45"/>
      <c r="D249" s="45"/>
      <c r="E249" s="45"/>
      <c r="F249" s="45"/>
      <c r="G249" s="45"/>
      <c r="H249" s="45"/>
    </row>
    <row r="250" spans="1:8">
      <c r="A250" s="44"/>
      <c r="B250" s="44"/>
      <c r="C250" s="44"/>
      <c r="D250" s="44"/>
      <c r="E250" s="44"/>
      <c r="F250" s="44"/>
      <c r="G250" s="44"/>
      <c r="H250" s="44"/>
    </row>
    <row r="251" spans="1:8">
      <c r="A251" s="45"/>
      <c r="B251" s="45"/>
      <c r="C251" s="45"/>
      <c r="D251" s="45"/>
      <c r="E251" s="45"/>
      <c r="F251" s="45"/>
      <c r="G251" s="45"/>
      <c r="H251" s="45"/>
    </row>
    <row r="252" spans="1:8">
      <c r="A252" s="44"/>
      <c r="B252" s="44"/>
      <c r="C252" s="44"/>
      <c r="D252" s="44"/>
      <c r="E252" s="44"/>
      <c r="F252" s="44"/>
      <c r="G252" s="44"/>
      <c r="H252" s="44"/>
    </row>
    <row r="253" spans="1:8">
      <c r="A253" s="45"/>
      <c r="B253" s="45"/>
      <c r="C253" s="45"/>
      <c r="D253" s="45"/>
      <c r="E253" s="45"/>
      <c r="F253" s="45"/>
      <c r="G253" s="45"/>
      <c r="H253" s="45"/>
    </row>
    <row r="254" spans="1:8">
      <c r="A254" s="44"/>
      <c r="B254" s="44"/>
      <c r="C254" s="44"/>
      <c r="D254" s="44"/>
      <c r="E254" s="44"/>
      <c r="F254" s="44"/>
      <c r="G254" s="44"/>
      <c r="H254" s="44"/>
    </row>
    <row r="255" spans="1:8">
      <c r="A255" s="45"/>
      <c r="B255" s="45"/>
      <c r="C255" s="45"/>
      <c r="D255" s="45"/>
      <c r="E255" s="45"/>
      <c r="F255" s="45"/>
      <c r="G255" s="45"/>
      <c r="H255" s="45"/>
    </row>
    <row r="256" spans="1:8">
      <c r="A256" s="44"/>
      <c r="B256" s="44"/>
      <c r="C256" s="44"/>
      <c r="D256" s="44"/>
      <c r="E256" s="44"/>
      <c r="F256" s="44"/>
      <c r="G256" s="44"/>
      <c r="H256" s="44"/>
    </row>
    <row r="257" spans="1:8">
      <c r="A257" s="45"/>
      <c r="B257" s="45"/>
      <c r="C257" s="45"/>
      <c r="D257" s="45"/>
      <c r="E257" s="45"/>
      <c r="F257" s="45"/>
      <c r="G257" s="45"/>
      <c r="H257" s="45"/>
    </row>
    <row r="258" spans="1:8">
      <c r="A258" s="44"/>
      <c r="B258" s="44"/>
      <c r="C258" s="44"/>
      <c r="D258" s="44"/>
      <c r="E258" s="44"/>
      <c r="F258" s="44"/>
      <c r="G258" s="44"/>
      <c r="H258" s="44"/>
    </row>
    <row r="259" spans="1:8">
      <c r="A259" s="45"/>
      <c r="B259" s="45"/>
      <c r="C259" s="45"/>
      <c r="D259" s="45"/>
      <c r="E259" s="45"/>
      <c r="F259" s="45"/>
      <c r="G259" s="45"/>
      <c r="H259" s="45"/>
    </row>
    <row r="260" spans="1:8">
      <c r="A260" s="44"/>
      <c r="B260" s="44"/>
      <c r="C260" s="44"/>
      <c r="D260" s="44"/>
      <c r="E260" s="44"/>
      <c r="F260" s="44"/>
      <c r="G260" s="44"/>
      <c r="H260" s="44"/>
    </row>
    <row r="261" spans="1:8">
      <c r="A261" s="45"/>
      <c r="B261" s="45"/>
      <c r="C261" s="45"/>
      <c r="D261" s="45"/>
      <c r="E261" s="45"/>
      <c r="F261" s="45"/>
      <c r="G261" s="45"/>
      <c r="H261" s="45"/>
    </row>
    <row r="262" spans="1:8">
      <c r="A262" s="44"/>
      <c r="B262" s="44"/>
      <c r="C262" s="44"/>
      <c r="D262" s="44"/>
      <c r="E262" s="44"/>
      <c r="F262" s="44"/>
      <c r="G262" s="44"/>
      <c r="H262" s="44"/>
    </row>
    <row r="263" spans="1:8">
      <c r="A263" s="45"/>
      <c r="B263" s="45"/>
      <c r="C263" s="45"/>
      <c r="D263" s="45"/>
      <c r="E263" s="45"/>
      <c r="F263" s="45"/>
      <c r="G263" s="45"/>
      <c r="H263" s="45"/>
    </row>
    <row r="264" spans="1:8">
      <c r="A264" s="44"/>
      <c r="B264" s="44"/>
      <c r="C264" s="44"/>
      <c r="D264" s="44"/>
      <c r="E264" s="44"/>
      <c r="F264" s="44"/>
      <c r="G264" s="44"/>
      <c r="H264" s="44"/>
    </row>
    <row r="265" spans="1:8">
      <c r="A265" s="45"/>
      <c r="B265" s="45"/>
      <c r="C265" s="45"/>
      <c r="D265" s="45"/>
      <c r="E265" s="45"/>
      <c r="F265" s="45"/>
      <c r="G265" s="45"/>
      <c r="H265" s="45"/>
    </row>
    <row r="266" spans="1:8">
      <c r="A266" s="44"/>
      <c r="B266" s="44"/>
      <c r="C266" s="44"/>
      <c r="D266" s="44"/>
      <c r="E266" s="44"/>
      <c r="F266" s="44"/>
      <c r="G266" s="44"/>
      <c r="H266" s="44"/>
    </row>
    <row r="267" spans="1:8">
      <c r="A267" s="45"/>
      <c r="B267" s="45"/>
      <c r="C267" s="45"/>
      <c r="D267" s="45"/>
      <c r="E267" s="45"/>
      <c r="F267" s="45"/>
      <c r="G267" s="45"/>
      <c r="H267" s="45"/>
    </row>
    <row r="268" spans="1:8">
      <c r="A268" s="44"/>
      <c r="B268" s="44"/>
      <c r="C268" s="44"/>
      <c r="D268" s="44"/>
      <c r="E268" s="44"/>
      <c r="F268" s="44"/>
      <c r="G268" s="44"/>
      <c r="H268" s="44"/>
    </row>
    <row r="269" spans="1:8">
      <c r="A269" s="45"/>
      <c r="B269" s="45"/>
      <c r="C269" s="45"/>
      <c r="D269" s="45"/>
      <c r="E269" s="45"/>
      <c r="F269" s="45"/>
      <c r="G269" s="45"/>
      <c r="H269" s="45"/>
    </row>
    <row r="270" spans="1:8">
      <c r="A270" s="44"/>
      <c r="B270" s="44"/>
      <c r="C270" s="44"/>
      <c r="D270" s="44"/>
      <c r="E270" s="44"/>
      <c r="F270" s="44"/>
      <c r="G270" s="44"/>
      <c r="H270" s="44"/>
    </row>
    <row r="271" spans="1:8">
      <c r="A271" s="45"/>
      <c r="B271" s="45"/>
      <c r="C271" s="45"/>
      <c r="D271" s="45"/>
      <c r="E271" s="45"/>
      <c r="F271" s="45"/>
      <c r="G271" s="45"/>
      <c r="H271" s="45"/>
    </row>
    <row r="272" spans="1:8">
      <c r="A272" s="44"/>
      <c r="B272" s="44"/>
      <c r="C272" s="44"/>
      <c r="D272" s="44"/>
      <c r="E272" s="44"/>
      <c r="F272" s="44"/>
      <c r="G272" s="44"/>
      <c r="H272" s="44"/>
    </row>
    <row r="273" spans="1:8">
      <c r="A273" s="45"/>
      <c r="B273" s="45"/>
      <c r="C273" s="45"/>
      <c r="D273" s="45"/>
      <c r="E273" s="45"/>
      <c r="F273" s="45"/>
      <c r="G273" s="45"/>
      <c r="H273" s="45"/>
    </row>
    <row r="274" spans="1:8">
      <c r="A274" s="44"/>
      <c r="B274" s="44"/>
      <c r="C274" s="44"/>
      <c r="D274" s="44"/>
      <c r="E274" s="44"/>
      <c r="F274" s="44"/>
      <c r="G274" s="44"/>
      <c r="H274" s="44"/>
    </row>
    <row r="275" spans="1:8">
      <c r="A275" s="45"/>
      <c r="B275" s="45"/>
      <c r="C275" s="45"/>
      <c r="D275" s="45"/>
      <c r="E275" s="45"/>
      <c r="F275" s="45"/>
      <c r="G275" s="45"/>
      <c r="H275" s="45"/>
    </row>
    <row r="276" spans="1:8">
      <c r="A276" s="44"/>
      <c r="B276" s="44"/>
      <c r="C276" s="44"/>
      <c r="D276" s="44"/>
      <c r="E276" s="44"/>
      <c r="F276" s="44"/>
      <c r="G276" s="44"/>
      <c r="H276" s="44"/>
    </row>
    <row r="277" spans="1:8">
      <c r="A277" s="45"/>
      <c r="B277" s="45"/>
      <c r="C277" s="45"/>
      <c r="D277" s="45"/>
      <c r="E277" s="45"/>
      <c r="F277" s="45"/>
      <c r="G277" s="45"/>
      <c r="H277" s="45"/>
    </row>
    <row r="278" spans="1:8">
      <c r="A278" s="44"/>
      <c r="B278" s="44"/>
      <c r="C278" s="44"/>
      <c r="D278" s="44"/>
      <c r="E278" s="44"/>
      <c r="F278" s="44"/>
      <c r="G278" s="44"/>
      <c r="H278" s="44"/>
    </row>
    <row r="279" spans="1:8">
      <c r="A279" s="45"/>
      <c r="B279" s="45"/>
      <c r="C279" s="45"/>
      <c r="D279" s="45"/>
      <c r="E279" s="45"/>
      <c r="F279" s="45"/>
      <c r="G279" s="45"/>
      <c r="H279" s="45"/>
    </row>
    <row r="280" spans="1:8">
      <c r="A280" s="44"/>
      <c r="B280" s="44"/>
      <c r="C280" s="44"/>
      <c r="D280" s="44"/>
      <c r="E280" s="44"/>
      <c r="F280" s="44"/>
      <c r="G280" s="44"/>
      <c r="H280" s="44"/>
    </row>
    <row r="281" spans="1:8">
      <c r="A281" s="45"/>
      <c r="B281" s="45"/>
      <c r="C281" s="45"/>
      <c r="D281" s="45"/>
      <c r="E281" s="45"/>
      <c r="F281" s="45"/>
      <c r="G281" s="45"/>
      <c r="H281" s="45"/>
    </row>
    <row r="282" spans="1:8">
      <c r="A282" s="44"/>
      <c r="B282" s="44"/>
      <c r="C282" s="44"/>
      <c r="D282" s="44"/>
      <c r="E282" s="44"/>
      <c r="F282" s="44"/>
      <c r="G282" s="44"/>
      <c r="H282" s="44"/>
    </row>
    <row r="283" spans="1:8">
      <c r="A283" s="45"/>
      <c r="B283" s="45"/>
      <c r="C283" s="45"/>
      <c r="D283" s="45"/>
      <c r="E283" s="45"/>
      <c r="F283" s="45"/>
      <c r="G283" s="45"/>
      <c r="H283" s="45"/>
    </row>
    <row r="284" spans="1:8">
      <c r="A284" s="44"/>
      <c r="B284" s="44"/>
      <c r="C284" s="44"/>
      <c r="D284" s="44"/>
      <c r="E284" s="44"/>
      <c r="F284" s="44"/>
      <c r="G284" s="44"/>
      <c r="H284" s="44"/>
    </row>
    <row r="285" spans="1:8">
      <c r="A285" s="45"/>
      <c r="B285" s="45"/>
      <c r="C285" s="45"/>
      <c r="D285" s="45"/>
      <c r="E285" s="45"/>
      <c r="F285" s="45"/>
      <c r="G285" s="45"/>
      <c r="H285" s="45"/>
    </row>
    <row r="286" spans="1:8">
      <c r="A286" s="44"/>
      <c r="B286" s="44"/>
      <c r="C286" s="44"/>
      <c r="D286" s="44"/>
      <c r="E286" s="44"/>
      <c r="F286" s="44"/>
      <c r="G286" s="44"/>
      <c r="H286" s="44"/>
    </row>
    <row r="287" spans="1:8">
      <c r="A287" s="45"/>
      <c r="B287" s="45"/>
      <c r="C287" s="45"/>
      <c r="D287" s="45"/>
      <c r="E287" s="45"/>
      <c r="F287" s="45"/>
      <c r="G287" s="45"/>
      <c r="H287" s="45"/>
    </row>
    <row r="288" spans="1:8">
      <c r="A288" s="44"/>
      <c r="B288" s="44"/>
      <c r="C288" s="44"/>
      <c r="D288" s="44"/>
      <c r="E288" s="44"/>
      <c r="F288" s="44"/>
      <c r="G288" s="44"/>
      <c r="H288" s="44"/>
    </row>
    <row r="289" spans="1:8">
      <c r="A289" s="45"/>
      <c r="B289" s="45"/>
      <c r="C289" s="45"/>
      <c r="D289" s="45"/>
      <c r="E289" s="45"/>
      <c r="F289" s="45"/>
      <c r="G289" s="45"/>
      <c r="H289" s="45"/>
    </row>
    <row r="290" spans="1:8">
      <c r="A290" s="44"/>
      <c r="B290" s="44"/>
      <c r="C290" s="44"/>
      <c r="D290" s="44"/>
      <c r="E290" s="44"/>
      <c r="F290" s="44"/>
      <c r="G290" s="44"/>
      <c r="H290" s="44"/>
    </row>
    <row r="291" spans="1:8">
      <c r="A291" s="45"/>
      <c r="B291" s="45"/>
      <c r="C291" s="45"/>
      <c r="D291" s="45"/>
      <c r="E291" s="45"/>
      <c r="F291" s="45"/>
      <c r="G291" s="45"/>
      <c r="H291" s="45"/>
    </row>
    <row r="292" spans="1:8">
      <c r="A292" s="44"/>
      <c r="B292" s="44"/>
      <c r="C292" s="44"/>
      <c r="D292" s="44"/>
      <c r="E292" s="44"/>
      <c r="F292" s="44"/>
      <c r="G292" s="44"/>
      <c r="H292" s="44"/>
    </row>
    <row r="293" spans="1:8">
      <c r="A293" s="45"/>
      <c r="B293" s="45"/>
      <c r="C293" s="45"/>
      <c r="D293" s="45"/>
      <c r="E293" s="45"/>
      <c r="F293" s="45"/>
      <c r="G293" s="45"/>
      <c r="H293" s="45"/>
    </row>
    <row r="294" spans="1:8">
      <c r="A294" s="44"/>
      <c r="B294" s="44"/>
      <c r="C294" s="44"/>
      <c r="D294" s="44"/>
      <c r="E294" s="44"/>
      <c r="F294" s="44"/>
      <c r="G294" s="44"/>
      <c r="H294" s="44"/>
    </row>
    <row r="295" spans="1:8">
      <c r="A295" s="45"/>
      <c r="B295" s="45"/>
      <c r="C295" s="45"/>
      <c r="D295" s="45"/>
      <c r="E295" s="45"/>
      <c r="F295" s="45"/>
      <c r="G295" s="45"/>
      <c r="H295" s="45"/>
    </row>
    <row r="296" spans="1:8">
      <c r="A296" s="44"/>
      <c r="B296" s="44"/>
      <c r="C296" s="44"/>
      <c r="D296" s="44"/>
      <c r="E296" s="44"/>
      <c r="F296" s="44"/>
      <c r="G296" s="44"/>
      <c r="H296" s="44"/>
    </row>
    <row r="297" spans="1:8">
      <c r="A297" s="45"/>
      <c r="B297" s="45"/>
      <c r="C297" s="45"/>
      <c r="D297" s="45"/>
      <c r="E297" s="45"/>
      <c r="F297" s="45"/>
      <c r="G297" s="45"/>
      <c r="H297" s="45"/>
    </row>
    <row r="298" spans="1:8">
      <c r="A298" s="44"/>
      <c r="B298" s="44"/>
      <c r="C298" s="44"/>
      <c r="D298" s="44"/>
      <c r="E298" s="44"/>
      <c r="F298" s="44"/>
      <c r="G298" s="44"/>
      <c r="H298" s="44"/>
    </row>
    <row r="299" spans="1:8">
      <c r="A299" s="45"/>
      <c r="B299" s="45"/>
      <c r="C299" s="45"/>
      <c r="D299" s="45"/>
      <c r="E299" s="45"/>
      <c r="F299" s="45"/>
      <c r="G299" s="45"/>
      <c r="H299" s="45"/>
    </row>
    <row r="300" spans="1:8">
      <c r="A300" s="44"/>
      <c r="B300" s="44"/>
      <c r="C300" s="44"/>
      <c r="D300" s="44"/>
      <c r="E300" s="44"/>
      <c r="F300" s="44"/>
      <c r="G300" s="44"/>
      <c r="H300" s="44"/>
    </row>
    <row r="301" spans="1:8">
      <c r="A301" s="45"/>
      <c r="B301" s="45"/>
      <c r="C301" s="45"/>
      <c r="D301" s="45"/>
      <c r="E301" s="45"/>
      <c r="F301" s="45"/>
      <c r="G301" s="45"/>
      <c r="H301" s="45"/>
    </row>
    <row r="302" spans="1:8">
      <c r="A302" s="44"/>
      <c r="B302" s="44"/>
      <c r="C302" s="44"/>
      <c r="D302" s="44"/>
      <c r="E302" s="44"/>
      <c r="F302" s="44"/>
      <c r="G302" s="44"/>
      <c r="H302" s="44"/>
    </row>
    <row r="303" spans="1:8">
      <c r="A303" s="45"/>
      <c r="B303" s="45"/>
      <c r="C303" s="45"/>
      <c r="D303" s="45"/>
      <c r="E303" s="45"/>
      <c r="F303" s="45"/>
      <c r="G303" s="45"/>
      <c r="H303" s="45"/>
    </row>
    <row r="304" spans="1:8">
      <c r="A304" s="44"/>
      <c r="B304" s="44"/>
      <c r="C304" s="44"/>
      <c r="D304" s="44"/>
      <c r="E304" s="44"/>
      <c r="F304" s="44"/>
      <c r="G304" s="44"/>
      <c r="H304" s="44"/>
    </row>
    <row r="305" spans="1:8">
      <c r="A305" s="45"/>
      <c r="B305" s="45"/>
      <c r="C305" s="45"/>
      <c r="D305" s="45"/>
      <c r="E305" s="45"/>
      <c r="F305" s="45"/>
      <c r="G305" s="45"/>
      <c r="H305" s="45"/>
    </row>
    <row r="306" spans="1:8">
      <c r="A306" s="44"/>
      <c r="B306" s="44"/>
      <c r="C306" s="44"/>
      <c r="D306" s="44"/>
      <c r="E306" s="44"/>
      <c r="F306" s="44"/>
      <c r="G306" s="44"/>
      <c r="H306" s="44"/>
    </row>
    <row r="307" spans="1:8">
      <c r="A307" s="45"/>
      <c r="B307" s="45"/>
      <c r="C307" s="45"/>
      <c r="D307" s="45"/>
      <c r="E307" s="45"/>
      <c r="F307" s="45"/>
      <c r="G307" s="45"/>
      <c r="H307" s="45"/>
    </row>
    <row r="308" spans="1:8">
      <c r="A308" s="44"/>
      <c r="B308" s="44"/>
      <c r="C308" s="44"/>
      <c r="D308" s="44"/>
      <c r="E308" s="44"/>
      <c r="F308" s="44"/>
      <c r="G308" s="44"/>
      <c r="H308" s="44"/>
    </row>
    <row r="309" spans="1:8">
      <c r="A309" s="45"/>
      <c r="B309" s="45"/>
      <c r="C309" s="45"/>
      <c r="D309" s="45"/>
      <c r="E309" s="45"/>
      <c r="F309" s="45"/>
      <c r="G309" s="45"/>
      <c r="H309" s="45"/>
    </row>
    <row r="310" spans="1:8">
      <c r="A310" s="44"/>
      <c r="B310" s="44"/>
      <c r="C310" s="44"/>
      <c r="D310" s="44"/>
      <c r="E310" s="44"/>
      <c r="F310" s="44"/>
      <c r="G310" s="44"/>
      <c r="H310" s="44"/>
    </row>
    <row r="311" spans="1:8">
      <c r="A311" s="45"/>
      <c r="B311" s="45"/>
      <c r="C311" s="45"/>
      <c r="D311" s="45"/>
      <c r="E311" s="45"/>
      <c r="F311" s="45"/>
      <c r="G311" s="45"/>
      <c r="H311" s="45"/>
    </row>
    <row r="312" spans="1:8">
      <c r="A312" s="44"/>
      <c r="B312" s="44"/>
      <c r="C312" s="44"/>
      <c r="D312" s="44"/>
      <c r="E312" s="44"/>
      <c r="F312" s="44"/>
      <c r="G312" s="44"/>
      <c r="H312" s="44"/>
    </row>
    <row r="313" spans="1:8">
      <c r="A313" s="45"/>
      <c r="B313" s="45"/>
      <c r="C313" s="45"/>
      <c r="D313" s="45"/>
      <c r="E313" s="45"/>
      <c r="F313" s="45"/>
      <c r="G313" s="45"/>
      <c r="H313" s="45"/>
    </row>
    <row r="314" spans="1:8">
      <c r="A314" s="44"/>
      <c r="B314" s="44"/>
      <c r="C314" s="44"/>
      <c r="D314" s="44"/>
      <c r="E314" s="44"/>
      <c r="F314" s="44"/>
      <c r="G314" s="44"/>
      <c r="H314" s="44"/>
    </row>
    <row r="315" spans="1:8">
      <c r="A315" s="45"/>
      <c r="B315" s="45"/>
      <c r="C315" s="45"/>
      <c r="D315" s="45"/>
      <c r="E315" s="45"/>
      <c r="F315" s="45"/>
      <c r="G315" s="45"/>
      <c r="H315" s="45"/>
    </row>
    <row r="316" spans="1:8">
      <c r="A316" s="44"/>
      <c r="B316" s="44"/>
      <c r="C316" s="44"/>
      <c r="D316" s="44"/>
      <c r="E316" s="44"/>
      <c r="F316" s="44"/>
      <c r="G316" s="44"/>
      <c r="H316" s="44"/>
    </row>
    <row r="317" spans="1:8">
      <c r="A317" s="45"/>
      <c r="B317" s="45"/>
      <c r="C317" s="45"/>
      <c r="D317" s="45"/>
      <c r="E317" s="45"/>
      <c r="F317" s="45"/>
      <c r="G317" s="45"/>
      <c r="H317" s="45"/>
    </row>
    <row r="318" spans="1:8">
      <c r="A318" s="44"/>
      <c r="B318" s="44"/>
      <c r="C318" s="44"/>
      <c r="D318" s="44"/>
      <c r="E318" s="44"/>
      <c r="F318" s="44"/>
      <c r="G318" s="44"/>
      <c r="H318" s="44"/>
    </row>
    <row r="319" spans="1:8">
      <c r="A319" s="45"/>
      <c r="B319" s="45"/>
      <c r="C319" s="45"/>
      <c r="D319" s="45"/>
      <c r="E319" s="45"/>
      <c r="F319" s="45"/>
      <c r="G319" s="45"/>
      <c r="H319" s="45"/>
    </row>
    <row r="320" spans="1:8">
      <c r="A320" s="44"/>
      <c r="B320" s="44"/>
      <c r="C320" s="44"/>
      <c r="D320" s="44"/>
      <c r="E320" s="44"/>
      <c r="F320" s="44"/>
      <c r="G320" s="44"/>
      <c r="H320" s="44"/>
    </row>
    <row r="321" spans="1:8">
      <c r="A321" s="45"/>
      <c r="B321" s="45"/>
      <c r="C321" s="45"/>
      <c r="D321" s="45"/>
      <c r="E321" s="45"/>
      <c r="F321" s="45"/>
      <c r="G321" s="45"/>
      <c r="H321" s="45"/>
    </row>
    <row r="322" spans="1:8">
      <c r="A322" s="44"/>
      <c r="B322" s="44"/>
      <c r="C322" s="44"/>
      <c r="D322" s="44"/>
      <c r="E322" s="44"/>
      <c r="F322" s="44"/>
      <c r="G322" s="44"/>
      <c r="H322" s="44"/>
    </row>
    <row r="323" spans="1:8">
      <c r="A323" s="45"/>
      <c r="B323" s="45"/>
      <c r="C323" s="45"/>
      <c r="D323" s="45"/>
      <c r="E323" s="45"/>
      <c r="F323" s="45"/>
      <c r="G323" s="45"/>
      <c r="H323" s="45"/>
    </row>
    <row r="324" spans="1:8">
      <c r="A324" s="44"/>
      <c r="B324" s="44"/>
      <c r="C324" s="44"/>
      <c r="D324" s="44"/>
      <c r="E324" s="44"/>
      <c r="F324" s="44"/>
      <c r="G324" s="44"/>
      <c r="H324" s="44"/>
    </row>
    <row r="325" spans="1:8">
      <c r="A325" s="45"/>
      <c r="B325" s="45"/>
      <c r="C325" s="45"/>
      <c r="D325" s="45"/>
      <c r="E325" s="45"/>
      <c r="F325" s="45"/>
      <c r="G325" s="45"/>
      <c r="H325" s="45"/>
    </row>
    <row r="326" spans="1:8">
      <c r="A326" s="44"/>
      <c r="B326" s="44"/>
      <c r="C326" s="44"/>
      <c r="D326" s="44"/>
      <c r="E326" s="44"/>
      <c r="F326" s="44"/>
      <c r="G326" s="44"/>
      <c r="H326" s="44"/>
    </row>
    <row r="327" spans="1:8">
      <c r="A327" s="45"/>
      <c r="B327" s="45"/>
      <c r="C327" s="45"/>
      <c r="D327" s="45"/>
      <c r="E327" s="45"/>
      <c r="F327" s="45"/>
      <c r="G327" s="45"/>
      <c r="H327" s="45"/>
    </row>
    <row r="328" spans="1:8">
      <c r="A328" s="44"/>
      <c r="B328" s="44"/>
      <c r="C328" s="44"/>
      <c r="D328" s="44"/>
      <c r="E328" s="44"/>
      <c r="F328" s="44"/>
      <c r="G328" s="44"/>
      <c r="H328" s="44"/>
    </row>
    <row r="329" spans="1:8">
      <c r="A329" s="45"/>
      <c r="B329" s="45"/>
      <c r="C329" s="45"/>
      <c r="D329" s="45"/>
      <c r="E329" s="45"/>
      <c r="F329" s="45"/>
      <c r="G329" s="45"/>
      <c r="H329" s="45"/>
    </row>
    <row r="330" spans="1:8">
      <c r="A330" s="44"/>
      <c r="B330" s="44"/>
      <c r="C330" s="44"/>
      <c r="D330" s="44"/>
      <c r="E330" s="44"/>
      <c r="F330" s="44"/>
      <c r="G330" s="44"/>
      <c r="H330" s="44"/>
    </row>
    <row r="331" spans="1:8">
      <c r="A331" s="45"/>
      <c r="B331" s="45"/>
      <c r="C331" s="45"/>
      <c r="D331" s="45"/>
      <c r="E331" s="45"/>
      <c r="F331" s="45"/>
      <c r="G331" s="45"/>
      <c r="H331" s="45"/>
    </row>
    <row r="332" spans="1:8">
      <c r="A332" s="44"/>
      <c r="B332" s="44"/>
      <c r="C332" s="44"/>
      <c r="D332" s="44"/>
      <c r="E332" s="44"/>
      <c r="F332" s="44"/>
      <c r="G332" s="44"/>
      <c r="H332" s="44"/>
    </row>
    <row r="333" spans="1:8">
      <c r="A333" s="45"/>
      <c r="B333" s="45"/>
      <c r="C333" s="45"/>
      <c r="D333" s="45"/>
      <c r="E333" s="45"/>
      <c r="F333" s="45"/>
      <c r="G333" s="45"/>
      <c r="H333" s="45"/>
    </row>
    <row r="334" spans="1:8">
      <c r="A334" s="44"/>
      <c r="B334" s="44"/>
      <c r="C334" s="44"/>
      <c r="D334" s="44"/>
      <c r="E334" s="44"/>
      <c r="F334" s="44"/>
      <c r="G334" s="44"/>
      <c r="H334" s="44"/>
    </row>
    <row r="335" spans="1:8">
      <c r="A335" s="45"/>
      <c r="B335" s="45"/>
      <c r="C335" s="45"/>
      <c r="D335" s="45"/>
      <c r="E335" s="45"/>
      <c r="F335" s="45"/>
      <c r="G335" s="45"/>
      <c r="H335" s="45"/>
    </row>
    <row r="336" spans="1:8">
      <c r="A336" s="44"/>
      <c r="B336" s="44"/>
      <c r="C336" s="44"/>
      <c r="D336" s="44"/>
      <c r="E336" s="44"/>
      <c r="F336" s="44"/>
      <c r="G336" s="44"/>
      <c r="H336" s="44"/>
    </row>
    <row r="337" spans="1:8">
      <c r="A337" s="45"/>
      <c r="B337" s="45"/>
      <c r="C337" s="45"/>
      <c r="D337" s="45"/>
      <c r="E337" s="45"/>
      <c r="F337" s="45"/>
      <c r="G337" s="45"/>
      <c r="H337" s="45"/>
    </row>
    <row r="338" spans="1:8">
      <c r="A338" s="44"/>
      <c r="B338" s="44"/>
      <c r="C338" s="44"/>
      <c r="D338" s="44"/>
      <c r="E338" s="44"/>
      <c r="F338" s="44"/>
      <c r="G338" s="44"/>
      <c r="H338" s="44"/>
    </row>
    <row r="339" spans="1:8">
      <c r="A339" s="45"/>
      <c r="B339" s="45"/>
      <c r="C339" s="45"/>
      <c r="D339" s="45"/>
      <c r="E339" s="45"/>
      <c r="F339" s="45"/>
      <c r="G339" s="45"/>
      <c r="H339" s="45"/>
    </row>
    <row r="340" spans="1:8">
      <c r="A340" s="44"/>
      <c r="B340" s="44"/>
      <c r="C340" s="44"/>
      <c r="D340" s="44"/>
      <c r="E340" s="44"/>
      <c r="F340" s="44"/>
      <c r="G340" s="44"/>
      <c r="H340" s="44"/>
    </row>
    <row r="341" spans="1:8">
      <c r="A341" s="45"/>
      <c r="B341" s="45"/>
      <c r="C341" s="45"/>
      <c r="D341" s="45"/>
      <c r="E341" s="45"/>
      <c r="F341" s="45"/>
      <c r="G341" s="45"/>
      <c r="H341" s="45"/>
    </row>
    <row r="342" spans="1:8">
      <c r="A342" s="44"/>
      <c r="B342" s="44"/>
      <c r="C342" s="44"/>
      <c r="D342" s="44"/>
      <c r="E342" s="44"/>
      <c r="F342" s="44"/>
      <c r="G342" s="44"/>
      <c r="H342" s="44"/>
    </row>
    <row r="343" spans="1:8">
      <c r="A343" s="45"/>
      <c r="B343" s="45"/>
      <c r="C343" s="45"/>
      <c r="D343" s="45"/>
      <c r="E343" s="45"/>
      <c r="F343" s="45"/>
      <c r="G343" s="45"/>
      <c r="H343" s="45"/>
    </row>
    <row r="344" spans="1:8">
      <c r="A344" s="44"/>
      <c r="B344" s="44"/>
      <c r="C344" s="44"/>
      <c r="D344" s="44"/>
      <c r="E344" s="44"/>
      <c r="F344" s="44"/>
      <c r="G344" s="44"/>
      <c r="H344" s="44"/>
    </row>
    <row r="345" spans="1:8">
      <c r="A345" s="45"/>
      <c r="B345" s="45"/>
      <c r="C345" s="45"/>
      <c r="D345" s="45"/>
      <c r="E345" s="45"/>
      <c r="F345" s="45"/>
      <c r="G345" s="45"/>
      <c r="H345" s="45"/>
    </row>
    <row r="346" spans="1:8">
      <c r="A346" s="44"/>
      <c r="B346" s="44"/>
      <c r="C346" s="44"/>
      <c r="D346" s="44"/>
      <c r="E346" s="44"/>
      <c r="F346" s="44"/>
      <c r="G346" s="44"/>
      <c r="H346" s="44"/>
    </row>
    <row r="347" spans="1:8">
      <c r="A347" s="45"/>
      <c r="B347" s="45"/>
      <c r="C347" s="45"/>
      <c r="D347" s="45"/>
      <c r="E347" s="45"/>
      <c r="F347" s="45"/>
      <c r="G347" s="45"/>
      <c r="H347" s="45"/>
    </row>
    <row r="348" spans="1:8">
      <c r="A348" s="44"/>
      <c r="B348" s="44"/>
      <c r="C348" s="44"/>
      <c r="D348" s="44"/>
      <c r="E348" s="44"/>
      <c r="F348" s="44"/>
      <c r="G348" s="44"/>
      <c r="H348" s="44"/>
    </row>
    <row r="349" spans="1:8">
      <c r="A349" s="45"/>
      <c r="B349" s="45"/>
      <c r="C349" s="45"/>
      <c r="D349" s="45"/>
      <c r="E349" s="45"/>
      <c r="F349" s="45"/>
      <c r="G349" s="45"/>
      <c r="H349" s="45"/>
    </row>
    <row r="350" spans="1:8">
      <c r="A350" s="44"/>
      <c r="B350" s="44"/>
      <c r="C350" s="44"/>
      <c r="D350" s="44"/>
      <c r="E350" s="44"/>
      <c r="F350" s="44"/>
      <c r="G350" s="44"/>
      <c r="H350" s="44"/>
    </row>
    <row r="351" spans="1:8">
      <c r="A351" s="45"/>
      <c r="B351" s="45"/>
      <c r="C351" s="45"/>
      <c r="D351" s="45"/>
      <c r="E351" s="45"/>
      <c r="F351" s="45"/>
      <c r="G351" s="45"/>
      <c r="H351" s="45"/>
    </row>
    <row r="352" spans="1:8">
      <c r="A352" s="44"/>
      <c r="B352" s="44"/>
      <c r="C352" s="44"/>
      <c r="D352" s="44"/>
      <c r="E352" s="44"/>
      <c r="F352" s="44"/>
      <c r="G352" s="44"/>
      <c r="H352" s="44"/>
    </row>
    <row r="353" spans="1:8">
      <c r="A353" s="45"/>
      <c r="B353" s="45"/>
      <c r="C353" s="45"/>
      <c r="D353" s="45"/>
      <c r="E353" s="45"/>
      <c r="F353" s="45"/>
      <c r="G353" s="45"/>
      <c r="H353" s="45"/>
    </row>
    <row r="354" spans="1:8">
      <c r="A354" s="44"/>
      <c r="B354" s="44"/>
      <c r="C354" s="44"/>
      <c r="D354" s="44"/>
      <c r="E354" s="44"/>
      <c r="F354" s="44"/>
      <c r="G354" s="44"/>
      <c r="H354" s="44"/>
    </row>
    <row r="355" spans="1:8">
      <c r="A355" s="45"/>
      <c r="B355" s="45"/>
      <c r="C355" s="45"/>
      <c r="D355" s="45"/>
      <c r="E355" s="45"/>
      <c r="F355" s="45"/>
      <c r="G355" s="45"/>
      <c r="H355" s="45"/>
    </row>
    <row r="356" spans="1:8">
      <c r="A356" s="44"/>
      <c r="B356" s="44"/>
      <c r="C356" s="44"/>
      <c r="D356" s="44"/>
      <c r="E356" s="44"/>
      <c r="F356" s="44"/>
      <c r="G356" s="44"/>
      <c r="H356" s="44"/>
    </row>
    <row r="357" spans="1:8">
      <c r="A357" s="45"/>
      <c r="B357" s="45"/>
      <c r="C357" s="45"/>
      <c r="D357" s="45"/>
      <c r="E357" s="45"/>
      <c r="F357" s="45"/>
      <c r="G357" s="45"/>
      <c r="H357" s="45"/>
    </row>
    <row r="358" spans="1:8">
      <c r="A358" s="44"/>
      <c r="B358" s="44"/>
      <c r="C358" s="44"/>
      <c r="D358" s="44"/>
      <c r="E358" s="44"/>
      <c r="F358" s="44"/>
      <c r="G358" s="44"/>
      <c r="H358" s="44"/>
    </row>
    <row r="359" spans="1:8">
      <c r="A359" s="45"/>
      <c r="B359" s="45"/>
      <c r="C359" s="45"/>
      <c r="D359" s="45"/>
      <c r="E359" s="45"/>
      <c r="F359" s="45"/>
      <c r="G359" s="45"/>
      <c r="H359" s="45"/>
    </row>
    <row r="360" spans="1:8">
      <c r="A360" s="44"/>
      <c r="B360" s="44"/>
      <c r="C360" s="44"/>
      <c r="D360" s="44"/>
      <c r="E360" s="44"/>
      <c r="F360" s="44"/>
      <c r="G360" s="44"/>
      <c r="H360" s="44"/>
    </row>
    <row r="361" spans="1:8">
      <c r="A361" s="45"/>
      <c r="B361" s="45"/>
      <c r="C361" s="45"/>
      <c r="D361" s="45"/>
      <c r="E361" s="45"/>
      <c r="F361" s="45"/>
      <c r="G361" s="45"/>
      <c r="H361" s="45"/>
    </row>
    <row r="362" spans="1:8">
      <c r="A362" s="44"/>
      <c r="B362" s="44"/>
      <c r="C362" s="44"/>
      <c r="D362" s="44"/>
      <c r="E362" s="44"/>
      <c r="F362" s="44"/>
      <c r="G362" s="44"/>
      <c r="H362" s="44"/>
    </row>
    <row r="363" spans="1:8">
      <c r="A363" s="45"/>
      <c r="B363" s="45"/>
      <c r="C363" s="45"/>
      <c r="D363" s="45"/>
      <c r="E363" s="45"/>
      <c r="F363" s="45"/>
      <c r="G363" s="45"/>
      <c r="H363" s="45"/>
    </row>
    <row r="364" spans="1:8">
      <c r="A364" s="44"/>
      <c r="B364" s="44"/>
      <c r="C364" s="44"/>
      <c r="D364" s="44"/>
      <c r="E364" s="44"/>
      <c r="F364" s="44"/>
      <c r="G364" s="44"/>
      <c r="H364" s="44"/>
    </row>
    <row r="365" spans="1:8">
      <c r="A365" s="45"/>
      <c r="B365" s="45"/>
      <c r="C365" s="45"/>
      <c r="D365" s="45"/>
      <c r="E365" s="45"/>
      <c r="F365" s="45"/>
      <c r="G365" s="45"/>
      <c r="H365" s="45"/>
    </row>
    <row r="366" spans="1:8">
      <c r="A366" s="44"/>
      <c r="B366" s="44"/>
      <c r="C366" s="44"/>
      <c r="D366" s="44"/>
      <c r="E366" s="44"/>
      <c r="F366" s="44"/>
      <c r="G366" s="44"/>
      <c r="H366" s="44"/>
    </row>
    <row r="367" spans="1:8">
      <c r="A367" s="45"/>
      <c r="B367" s="45"/>
      <c r="C367" s="45"/>
      <c r="D367" s="45"/>
      <c r="E367" s="45"/>
      <c r="F367" s="45"/>
      <c r="G367" s="45"/>
      <c r="H367" s="45"/>
    </row>
    <row r="368" spans="1:8">
      <c r="A368" s="44"/>
      <c r="B368" s="44"/>
      <c r="C368" s="44"/>
      <c r="D368" s="44"/>
      <c r="E368" s="44"/>
      <c r="F368" s="44"/>
      <c r="G368" s="44"/>
      <c r="H368" s="44"/>
    </row>
    <row r="369" spans="1:8">
      <c r="A369" s="45"/>
      <c r="B369" s="45"/>
      <c r="C369" s="45"/>
      <c r="D369" s="45"/>
      <c r="E369" s="45"/>
      <c r="F369" s="45"/>
      <c r="G369" s="45"/>
      <c r="H369" s="45"/>
    </row>
    <row r="370" spans="1:8">
      <c r="A370" s="44"/>
      <c r="B370" s="44"/>
      <c r="C370" s="44"/>
      <c r="D370" s="44"/>
      <c r="E370" s="44"/>
      <c r="F370" s="44"/>
      <c r="G370" s="44"/>
      <c r="H370" s="44"/>
    </row>
    <row r="371" spans="1:8">
      <c r="A371" s="45"/>
      <c r="B371" s="45"/>
      <c r="C371" s="45"/>
      <c r="D371" s="45"/>
      <c r="E371" s="45"/>
      <c r="F371" s="45"/>
      <c r="G371" s="45"/>
      <c r="H371" s="45"/>
    </row>
    <row r="372" spans="1:8">
      <c r="A372" s="44"/>
      <c r="B372" s="44"/>
      <c r="C372" s="44"/>
      <c r="D372" s="44"/>
      <c r="E372" s="44"/>
      <c r="F372" s="44"/>
      <c r="G372" s="44"/>
      <c r="H372" s="44"/>
    </row>
    <row r="373" spans="1:8">
      <c r="A373" s="45"/>
      <c r="B373" s="45"/>
      <c r="C373" s="45"/>
      <c r="D373" s="45"/>
      <c r="E373" s="45"/>
      <c r="F373" s="45"/>
      <c r="G373" s="45"/>
      <c r="H373" s="45"/>
    </row>
    <row r="374" spans="1:8">
      <c r="A374" s="44"/>
      <c r="B374" s="44"/>
      <c r="C374" s="44"/>
      <c r="D374" s="44"/>
      <c r="E374" s="44"/>
      <c r="F374" s="44"/>
      <c r="G374" s="44"/>
      <c r="H374" s="44"/>
    </row>
    <row r="375" spans="1:8">
      <c r="A375" s="45"/>
      <c r="B375" s="45"/>
      <c r="C375" s="45"/>
      <c r="D375" s="45"/>
      <c r="E375" s="45"/>
      <c r="F375" s="45"/>
      <c r="G375" s="45"/>
      <c r="H375" s="45"/>
    </row>
    <row r="376" spans="1:8">
      <c r="A376" s="44"/>
      <c r="B376" s="44"/>
      <c r="C376" s="44"/>
      <c r="D376" s="44"/>
      <c r="E376" s="44"/>
      <c r="F376" s="44"/>
      <c r="G376" s="44"/>
      <c r="H376" s="44"/>
    </row>
    <row r="377" spans="1:8">
      <c r="A377" s="45"/>
      <c r="B377" s="45"/>
      <c r="C377" s="45"/>
      <c r="D377" s="45"/>
      <c r="E377" s="45"/>
      <c r="F377" s="45"/>
      <c r="G377" s="45"/>
      <c r="H377" s="45"/>
    </row>
    <row r="378" spans="1:8">
      <c r="A378" s="44"/>
      <c r="B378" s="44"/>
      <c r="C378" s="44"/>
      <c r="D378" s="44"/>
      <c r="E378" s="44"/>
      <c r="F378" s="44"/>
      <c r="G378" s="44"/>
      <c r="H378" s="44"/>
    </row>
    <row r="379" spans="1:8">
      <c r="A379" s="45"/>
      <c r="B379" s="45"/>
      <c r="C379" s="45"/>
      <c r="D379" s="45"/>
      <c r="E379" s="45"/>
      <c r="F379" s="45"/>
      <c r="G379" s="45"/>
      <c r="H379" s="45"/>
    </row>
    <row r="380" spans="1:8">
      <c r="A380" s="44"/>
      <c r="B380" s="44"/>
      <c r="C380" s="44"/>
      <c r="D380" s="44"/>
      <c r="E380" s="44"/>
      <c r="F380" s="44"/>
      <c r="G380" s="44"/>
      <c r="H380" s="44"/>
    </row>
    <row r="381" spans="1:8">
      <c r="A381" s="45"/>
      <c r="B381" s="45"/>
      <c r="C381" s="45"/>
      <c r="D381" s="45"/>
      <c r="E381" s="45"/>
      <c r="F381" s="45"/>
      <c r="G381" s="45"/>
      <c r="H381" s="45"/>
    </row>
    <row r="382" spans="1:8">
      <c r="A382" s="44"/>
      <c r="B382" s="44"/>
      <c r="C382" s="44"/>
      <c r="D382" s="44"/>
      <c r="E382" s="44"/>
      <c r="F382" s="44"/>
      <c r="G382" s="44"/>
      <c r="H382" s="44"/>
    </row>
    <row r="383" spans="1:8">
      <c r="A383" s="45"/>
      <c r="B383" s="45"/>
      <c r="C383" s="45"/>
      <c r="D383" s="45"/>
      <c r="E383" s="45"/>
      <c r="F383" s="45"/>
      <c r="G383" s="45"/>
      <c r="H383" s="45"/>
    </row>
    <row r="384" spans="1:8">
      <c r="A384" s="44"/>
      <c r="B384" s="44"/>
      <c r="C384" s="44"/>
      <c r="D384" s="44"/>
      <c r="E384" s="44"/>
      <c r="F384" s="44"/>
      <c r="G384" s="44"/>
      <c r="H384" s="44"/>
    </row>
    <row r="385" spans="1:8">
      <c r="A385" s="45"/>
      <c r="B385" s="45"/>
      <c r="C385" s="45"/>
      <c r="D385" s="45"/>
      <c r="E385" s="45"/>
      <c r="F385" s="45"/>
      <c r="G385" s="45"/>
      <c r="H385" s="45"/>
    </row>
    <row r="386" spans="1:8">
      <c r="A386" s="44"/>
      <c r="B386" s="44"/>
      <c r="C386" s="44"/>
      <c r="D386" s="44"/>
      <c r="E386" s="44"/>
      <c r="F386" s="44"/>
      <c r="G386" s="44"/>
      <c r="H386" s="44"/>
    </row>
    <row r="387" spans="1:8">
      <c r="A387" s="45"/>
      <c r="B387" s="45"/>
      <c r="C387" s="45"/>
      <c r="D387" s="45"/>
      <c r="E387" s="45"/>
      <c r="F387" s="45"/>
      <c r="G387" s="45"/>
      <c r="H387" s="45"/>
    </row>
    <row r="388" spans="1:8">
      <c r="A388" s="44"/>
      <c r="B388" s="44"/>
      <c r="C388" s="44"/>
      <c r="D388" s="44"/>
      <c r="E388" s="44"/>
      <c r="F388" s="44"/>
      <c r="G388" s="44"/>
      <c r="H388" s="44"/>
    </row>
    <row r="389" spans="1:8">
      <c r="A389" s="45"/>
      <c r="B389" s="45"/>
      <c r="C389" s="45"/>
      <c r="D389" s="45"/>
      <c r="E389" s="45"/>
      <c r="F389" s="45"/>
      <c r="G389" s="45"/>
      <c r="H389" s="45"/>
    </row>
    <row r="390" spans="1:8">
      <c r="A390" s="44"/>
      <c r="B390" s="44"/>
      <c r="C390" s="44"/>
      <c r="D390" s="44"/>
      <c r="E390" s="44"/>
      <c r="F390" s="44"/>
      <c r="G390" s="44"/>
      <c r="H390" s="44"/>
    </row>
    <row r="391" spans="1:8">
      <c r="A391" s="45"/>
      <c r="B391" s="45"/>
      <c r="C391" s="45"/>
      <c r="D391" s="45"/>
      <c r="E391" s="45"/>
      <c r="F391" s="45"/>
      <c r="G391" s="45"/>
      <c r="H391" s="45"/>
    </row>
    <row r="392" spans="1:8">
      <c r="A392" s="44"/>
      <c r="B392" s="44"/>
      <c r="C392" s="44"/>
      <c r="D392" s="44"/>
      <c r="E392" s="44"/>
      <c r="F392" s="44"/>
      <c r="G392" s="44"/>
      <c r="H392" s="44"/>
    </row>
    <row r="393" spans="1:8">
      <c r="A393" s="45"/>
      <c r="B393" s="45"/>
      <c r="C393" s="45"/>
      <c r="D393" s="45"/>
      <c r="E393" s="45"/>
      <c r="F393" s="45"/>
      <c r="G393" s="45"/>
      <c r="H393" s="45"/>
    </row>
    <row r="394" spans="1:8">
      <c r="A394" s="44"/>
      <c r="B394" s="44"/>
      <c r="C394" s="44"/>
      <c r="D394" s="44"/>
      <c r="E394" s="44"/>
      <c r="F394" s="44"/>
      <c r="G394" s="44"/>
      <c r="H394" s="44"/>
    </row>
    <row r="395" spans="1:8">
      <c r="A395" s="45"/>
      <c r="B395" s="45"/>
      <c r="C395" s="45"/>
      <c r="D395" s="45"/>
      <c r="E395" s="45"/>
      <c r="F395" s="45"/>
      <c r="G395" s="45"/>
      <c r="H395" s="45"/>
    </row>
    <row r="396" spans="1:8">
      <c r="A396" s="44"/>
      <c r="B396" s="44"/>
      <c r="C396" s="44"/>
      <c r="D396" s="44"/>
      <c r="E396" s="44"/>
      <c r="F396" s="44"/>
      <c r="G396" s="44"/>
      <c r="H396" s="44"/>
    </row>
    <row r="397" spans="1:8">
      <c r="A397" s="45"/>
      <c r="B397" s="45"/>
      <c r="C397" s="45"/>
      <c r="D397" s="45"/>
      <c r="E397" s="45"/>
      <c r="F397" s="45"/>
      <c r="G397" s="45"/>
      <c r="H397" s="45"/>
    </row>
    <row r="398" spans="1:8">
      <c r="A398" s="44"/>
      <c r="B398" s="44"/>
      <c r="C398" s="44"/>
      <c r="D398" s="44"/>
      <c r="E398" s="44"/>
      <c r="F398" s="44"/>
      <c r="G398" s="44"/>
      <c r="H398" s="44"/>
    </row>
    <row r="399" spans="1:8">
      <c r="A399" s="45"/>
      <c r="B399" s="45"/>
      <c r="C399" s="45"/>
      <c r="D399" s="45"/>
      <c r="E399" s="45"/>
      <c r="F399" s="45"/>
      <c r="G399" s="45"/>
      <c r="H399" s="45"/>
    </row>
    <row r="400" spans="1:8">
      <c r="A400" s="44"/>
      <c r="B400" s="44"/>
      <c r="C400" s="44"/>
      <c r="D400" s="44"/>
      <c r="E400" s="44"/>
      <c r="F400" s="44"/>
      <c r="G400" s="44"/>
      <c r="H400" s="44"/>
    </row>
    <row r="401" spans="1:8">
      <c r="A401" s="45"/>
      <c r="B401" s="45"/>
      <c r="C401" s="45"/>
      <c r="D401" s="45"/>
      <c r="E401" s="45"/>
      <c r="F401" s="45"/>
      <c r="G401" s="45"/>
      <c r="H401" s="45"/>
    </row>
    <row r="402" spans="1:8">
      <c r="A402" s="44"/>
      <c r="B402" s="44"/>
      <c r="C402" s="44"/>
      <c r="D402" s="44"/>
      <c r="E402" s="44"/>
      <c r="F402" s="44"/>
      <c r="G402" s="44"/>
      <c r="H402" s="44"/>
    </row>
    <row r="403" spans="1:8">
      <c r="A403" s="45"/>
      <c r="B403" s="45"/>
      <c r="C403" s="45"/>
      <c r="D403" s="45"/>
      <c r="E403" s="45"/>
      <c r="F403" s="45"/>
      <c r="G403" s="45"/>
      <c r="H403" s="45"/>
    </row>
    <row r="404" spans="1:8">
      <c r="A404" s="44"/>
      <c r="B404" s="44"/>
      <c r="C404" s="44"/>
      <c r="D404" s="44"/>
      <c r="E404" s="44"/>
      <c r="F404" s="44"/>
      <c r="G404" s="44"/>
      <c r="H404" s="44"/>
    </row>
    <row r="405" spans="1:8">
      <c r="A405" s="45"/>
      <c r="B405" s="45"/>
      <c r="C405" s="45"/>
      <c r="D405" s="45"/>
      <c r="E405" s="45"/>
      <c r="F405" s="45"/>
      <c r="G405" s="45"/>
      <c r="H405" s="45"/>
    </row>
    <row r="406" spans="1:8">
      <c r="A406" s="44"/>
      <c r="B406" s="44"/>
      <c r="C406" s="44"/>
      <c r="D406" s="44"/>
      <c r="E406" s="44"/>
      <c r="F406" s="44"/>
      <c r="G406" s="44"/>
      <c r="H406" s="44"/>
    </row>
    <row r="407" spans="1:8">
      <c r="A407" s="45"/>
      <c r="B407" s="45"/>
      <c r="C407" s="45"/>
      <c r="D407" s="45"/>
      <c r="E407" s="45"/>
      <c r="F407" s="45"/>
      <c r="G407" s="45"/>
      <c r="H407" s="45"/>
    </row>
    <row r="408" spans="1:8">
      <c r="A408" s="44"/>
      <c r="B408" s="44"/>
      <c r="C408" s="44"/>
      <c r="D408" s="44"/>
      <c r="E408" s="44"/>
      <c r="F408" s="44"/>
      <c r="G408" s="44"/>
      <c r="H408" s="44"/>
    </row>
    <row r="409" spans="1:8">
      <c r="A409" s="45"/>
      <c r="B409" s="45"/>
      <c r="C409" s="45"/>
      <c r="D409" s="45"/>
      <c r="E409" s="45"/>
      <c r="F409" s="45"/>
      <c r="G409" s="45"/>
      <c r="H409" s="45"/>
    </row>
    <row r="410" spans="1:8">
      <c r="A410" s="44"/>
      <c r="B410" s="44"/>
      <c r="C410" s="44"/>
      <c r="D410" s="44"/>
      <c r="E410" s="44"/>
      <c r="F410" s="44"/>
      <c r="G410" s="44"/>
      <c r="H410" s="44"/>
    </row>
    <row r="411" spans="1:8">
      <c r="A411" s="45"/>
      <c r="B411" s="45"/>
      <c r="C411" s="45"/>
      <c r="D411" s="45"/>
      <c r="E411" s="45"/>
      <c r="F411" s="45"/>
      <c r="G411" s="45"/>
      <c r="H411" s="45"/>
    </row>
    <row r="412" spans="1:8">
      <c r="A412" s="44"/>
      <c r="B412" s="44"/>
      <c r="C412" s="44"/>
      <c r="D412" s="44"/>
      <c r="E412" s="44"/>
      <c r="F412" s="44"/>
      <c r="G412" s="44"/>
      <c r="H412" s="44"/>
    </row>
    <row r="413" spans="1:8">
      <c r="A413" s="45"/>
      <c r="B413" s="45"/>
      <c r="C413" s="45"/>
      <c r="D413" s="45"/>
      <c r="E413" s="45"/>
      <c r="F413" s="45"/>
      <c r="G413" s="45"/>
      <c r="H413" s="45"/>
    </row>
    <row r="414" spans="1:8">
      <c r="A414" s="44"/>
      <c r="B414" s="44"/>
      <c r="C414" s="44"/>
      <c r="D414" s="44"/>
      <c r="E414" s="44"/>
      <c r="F414" s="44"/>
      <c r="G414" s="44"/>
      <c r="H414" s="44"/>
    </row>
    <row r="415" spans="1:8">
      <c r="A415" s="45"/>
      <c r="B415" s="45"/>
      <c r="C415" s="45"/>
      <c r="D415" s="45"/>
      <c r="E415" s="45"/>
      <c r="F415" s="45"/>
      <c r="G415" s="45"/>
      <c r="H415" s="45"/>
    </row>
    <row r="416" spans="1:8">
      <c r="A416" s="44"/>
      <c r="B416" s="44"/>
      <c r="C416" s="44"/>
      <c r="D416" s="44"/>
      <c r="E416" s="44"/>
      <c r="F416" s="44"/>
      <c r="G416" s="44"/>
      <c r="H416" s="44"/>
    </row>
    <row r="417" spans="1:8">
      <c r="A417" s="45"/>
      <c r="B417" s="45"/>
      <c r="C417" s="45"/>
      <c r="D417" s="45"/>
      <c r="E417" s="45"/>
      <c r="F417" s="45"/>
      <c r="G417" s="45"/>
      <c r="H417" s="45"/>
    </row>
    <row r="418" spans="1:8">
      <c r="A418" s="44"/>
      <c r="B418" s="44"/>
      <c r="C418" s="44"/>
      <c r="D418" s="44"/>
      <c r="E418" s="44"/>
      <c r="F418" s="44"/>
      <c r="G418" s="44"/>
      <c r="H418" s="44"/>
    </row>
    <row r="419" spans="1:8">
      <c r="A419" s="45"/>
      <c r="B419" s="45"/>
      <c r="C419" s="45"/>
      <c r="D419" s="45"/>
      <c r="E419" s="45"/>
      <c r="F419" s="45"/>
      <c r="G419" s="45"/>
      <c r="H419" s="45"/>
    </row>
    <row r="420" spans="1:8">
      <c r="A420" s="44"/>
      <c r="B420" s="44"/>
      <c r="C420" s="44"/>
      <c r="D420" s="44"/>
      <c r="E420" s="44"/>
      <c r="F420" s="44"/>
      <c r="G420" s="44"/>
      <c r="H420" s="44"/>
    </row>
    <row r="421" spans="1:8">
      <c r="A421" s="45"/>
      <c r="B421" s="45"/>
      <c r="C421" s="45"/>
      <c r="D421" s="45"/>
      <c r="E421" s="45"/>
      <c r="F421" s="45"/>
      <c r="G421" s="45"/>
      <c r="H421" s="45"/>
    </row>
    <row r="422" spans="1:8">
      <c r="A422" s="44"/>
      <c r="B422" s="44"/>
      <c r="C422" s="44"/>
      <c r="D422" s="44"/>
      <c r="E422" s="44"/>
      <c r="F422" s="44"/>
      <c r="G422" s="44"/>
      <c r="H422" s="44"/>
    </row>
    <row r="423" spans="1:8">
      <c r="A423" s="45"/>
      <c r="B423" s="45"/>
      <c r="C423" s="45"/>
      <c r="D423" s="45"/>
      <c r="E423" s="45"/>
      <c r="F423" s="45"/>
      <c r="G423" s="45"/>
      <c r="H423" s="45"/>
    </row>
    <row r="424" spans="1:8">
      <c r="A424" s="44"/>
      <c r="B424" s="44"/>
      <c r="C424" s="44"/>
      <c r="D424" s="44"/>
      <c r="E424" s="44"/>
      <c r="F424" s="44"/>
      <c r="G424" s="44"/>
      <c r="H424" s="44"/>
    </row>
    <row r="425" spans="1:8">
      <c r="A425" s="45"/>
      <c r="B425" s="45"/>
      <c r="C425" s="45"/>
      <c r="D425" s="45"/>
      <c r="E425" s="45"/>
      <c r="F425" s="45"/>
      <c r="G425" s="45"/>
      <c r="H425" s="45"/>
    </row>
    <row r="426" spans="1:8">
      <c r="A426" s="44"/>
      <c r="B426" s="44"/>
      <c r="C426" s="44"/>
      <c r="D426" s="44"/>
      <c r="E426" s="44"/>
      <c r="F426" s="44"/>
      <c r="G426" s="44"/>
      <c r="H426" s="44"/>
    </row>
    <row r="427" spans="1:8">
      <c r="A427" s="45"/>
      <c r="B427" s="45"/>
      <c r="C427" s="45"/>
      <c r="D427" s="45"/>
      <c r="E427" s="45"/>
      <c r="F427" s="45"/>
      <c r="G427" s="45"/>
      <c r="H427" s="45"/>
    </row>
    <row r="428" spans="1:8">
      <c r="A428" s="44"/>
      <c r="B428" s="44"/>
      <c r="C428" s="44"/>
      <c r="D428" s="44"/>
      <c r="E428" s="44"/>
      <c r="F428" s="44"/>
      <c r="G428" s="44"/>
      <c r="H428" s="44"/>
    </row>
    <row r="429" spans="1:8">
      <c r="A429" s="45"/>
      <c r="B429" s="45"/>
      <c r="C429" s="45"/>
      <c r="D429" s="45"/>
      <c r="E429" s="45"/>
      <c r="F429" s="45"/>
      <c r="G429" s="45"/>
      <c r="H429" s="45"/>
    </row>
    <row r="430" spans="1:8">
      <c r="A430" s="44"/>
      <c r="B430" s="44"/>
      <c r="C430" s="44"/>
      <c r="D430" s="44"/>
      <c r="E430" s="44"/>
      <c r="F430" s="44"/>
      <c r="G430" s="44"/>
      <c r="H430" s="44"/>
    </row>
    <row r="431" spans="1:8">
      <c r="A431" s="45"/>
      <c r="B431" s="45"/>
      <c r="C431" s="45"/>
      <c r="D431" s="45"/>
      <c r="E431" s="45"/>
      <c r="F431" s="45"/>
      <c r="G431" s="45"/>
      <c r="H431" s="45"/>
    </row>
    <row r="432" spans="1:8">
      <c r="A432" s="44"/>
      <c r="B432" s="44"/>
      <c r="C432" s="44"/>
      <c r="D432" s="44"/>
      <c r="E432" s="44"/>
      <c r="F432" s="44"/>
      <c r="G432" s="44"/>
      <c r="H432" s="44"/>
    </row>
    <row r="433" spans="1:8">
      <c r="A433" s="45"/>
      <c r="B433" s="45"/>
      <c r="C433" s="45"/>
      <c r="D433" s="45"/>
      <c r="E433" s="45"/>
      <c r="F433" s="45"/>
      <c r="G433" s="45"/>
      <c r="H433" s="45"/>
    </row>
    <row r="434" spans="1:8">
      <c r="A434" s="44"/>
      <c r="B434" s="44"/>
      <c r="C434" s="44"/>
      <c r="D434" s="44"/>
      <c r="E434" s="44"/>
      <c r="F434" s="44"/>
      <c r="G434" s="44"/>
      <c r="H434" s="44"/>
    </row>
    <row r="435" spans="1:8">
      <c r="A435" s="45"/>
      <c r="B435" s="45"/>
      <c r="C435" s="45"/>
      <c r="D435" s="45"/>
      <c r="E435" s="45"/>
      <c r="F435" s="45"/>
      <c r="G435" s="45"/>
      <c r="H435" s="45"/>
    </row>
    <row r="436" spans="1:8">
      <c r="A436" s="44"/>
      <c r="B436" s="44"/>
      <c r="C436" s="44"/>
      <c r="D436" s="44"/>
      <c r="E436" s="44"/>
      <c r="F436" s="44"/>
      <c r="G436" s="44"/>
      <c r="H436" s="44"/>
    </row>
    <row r="437" spans="1:8">
      <c r="A437" s="45"/>
      <c r="B437" s="45"/>
      <c r="C437" s="45"/>
      <c r="D437" s="45"/>
      <c r="E437" s="45"/>
      <c r="F437" s="45"/>
      <c r="G437" s="45"/>
      <c r="H437" s="45"/>
    </row>
    <row r="438" spans="1:8">
      <c r="A438" s="44"/>
      <c r="B438" s="44"/>
      <c r="C438" s="44"/>
      <c r="D438" s="44"/>
      <c r="E438" s="44"/>
      <c r="F438" s="44"/>
      <c r="G438" s="44"/>
      <c r="H438" s="44"/>
    </row>
    <row r="439" spans="1:8">
      <c r="A439" s="45"/>
      <c r="B439" s="45"/>
      <c r="C439" s="45"/>
      <c r="D439" s="45"/>
      <c r="E439" s="45"/>
      <c r="F439" s="45"/>
      <c r="G439" s="45"/>
      <c r="H439" s="45"/>
    </row>
    <row r="440" spans="1:8">
      <c r="A440" s="44"/>
      <c r="B440" s="44"/>
      <c r="C440" s="44"/>
      <c r="D440" s="44"/>
      <c r="E440" s="44"/>
      <c r="F440" s="44"/>
      <c r="G440" s="44"/>
      <c r="H440" s="44"/>
    </row>
    <row r="441" spans="1:8">
      <c r="A441" s="45"/>
      <c r="B441" s="45"/>
      <c r="C441" s="45"/>
      <c r="D441" s="45"/>
      <c r="E441" s="45"/>
      <c r="F441" s="45"/>
      <c r="G441" s="45"/>
      <c r="H441" s="45"/>
    </row>
    <row r="442" spans="1:8">
      <c r="A442" s="44"/>
      <c r="B442" s="44"/>
      <c r="C442" s="44"/>
      <c r="D442" s="44"/>
      <c r="E442" s="44"/>
      <c r="F442" s="44"/>
      <c r="G442" s="44"/>
      <c r="H442" s="44"/>
    </row>
    <row r="443" spans="1:8">
      <c r="A443" s="45"/>
      <c r="B443" s="45"/>
      <c r="C443" s="45"/>
      <c r="D443" s="45"/>
      <c r="E443" s="45"/>
      <c r="F443" s="45"/>
      <c r="G443" s="45"/>
      <c r="H443" s="45"/>
    </row>
    <row r="444" spans="1:8">
      <c r="A444" s="44"/>
      <c r="B444" s="44"/>
      <c r="C444" s="44"/>
      <c r="D444" s="44"/>
      <c r="E444" s="44"/>
      <c r="F444" s="44"/>
      <c r="G444" s="44"/>
      <c r="H444" s="44"/>
    </row>
    <row r="445" spans="1:8">
      <c r="A445" s="45"/>
      <c r="B445" s="45"/>
      <c r="C445" s="45"/>
      <c r="D445" s="45"/>
      <c r="E445" s="45"/>
      <c r="F445" s="45"/>
      <c r="G445" s="45"/>
      <c r="H445" s="45"/>
    </row>
    <row r="446" spans="1:8">
      <c r="A446" s="44"/>
      <c r="B446" s="44"/>
      <c r="C446" s="44"/>
      <c r="D446" s="44"/>
      <c r="E446" s="44"/>
      <c r="F446" s="44"/>
      <c r="G446" s="44"/>
      <c r="H446" s="44"/>
    </row>
    <row r="447" spans="1:8">
      <c r="A447" s="45"/>
      <c r="B447" s="45"/>
      <c r="C447" s="45"/>
      <c r="D447" s="45"/>
      <c r="E447" s="45"/>
      <c r="F447" s="45"/>
      <c r="G447" s="45"/>
      <c r="H447" s="45"/>
    </row>
    <row r="448" spans="1:8">
      <c r="A448" s="44"/>
      <c r="B448" s="44"/>
      <c r="C448" s="44"/>
      <c r="D448" s="44"/>
      <c r="E448" s="44"/>
      <c r="F448" s="44"/>
      <c r="G448" s="44"/>
      <c r="H448" s="44"/>
    </row>
    <row r="449" spans="1:8">
      <c r="A449" s="45"/>
      <c r="B449" s="45"/>
      <c r="C449" s="45"/>
      <c r="D449" s="45"/>
      <c r="E449" s="45"/>
      <c r="F449" s="45"/>
      <c r="G449" s="45"/>
      <c r="H449" s="45"/>
    </row>
    <row r="450" spans="1:8">
      <c r="A450" s="44"/>
      <c r="B450" s="44"/>
      <c r="C450" s="44"/>
      <c r="D450" s="44"/>
      <c r="E450" s="44"/>
      <c r="F450" s="44"/>
      <c r="G450" s="44"/>
      <c r="H450" s="44"/>
    </row>
    <row r="451" spans="1:8">
      <c r="A451" s="45"/>
      <c r="B451" s="45"/>
      <c r="C451" s="45"/>
      <c r="D451" s="45"/>
      <c r="E451" s="45"/>
      <c r="F451" s="45"/>
      <c r="G451" s="45"/>
      <c r="H451" s="45"/>
    </row>
    <row r="452" spans="1:8">
      <c r="A452" s="44"/>
      <c r="B452" s="44"/>
      <c r="C452" s="44"/>
      <c r="D452" s="44"/>
      <c r="E452" s="44"/>
      <c r="F452" s="44"/>
      <c r="G452" s="44"/>
      <c r="H452" s="44"/>
    </row>
    <row r="453" spans="1:8">
      <c r="A453" s="45"/>
      <c r="B453" s="45"/>
      <c r="C453" s="45"/>
      <c r="D453" s="45"/>
      <c r="E453" s="45"/>
      <c r="F453" s="45"/>
      <c r="G453" s="45"/>
      <c r="H453" s="45"/>
    </row>
    <row r="454" spans="1:8">
      <c r="A454" s="44"/>
      <c r="B454" s="44"/>
      <c r="C454" s="44"/>
      <c r="D454" s="44"/>
      <c r="E454" s="44"/>
      <c r="F454" s="44"/>
      <c r="G454" s="44"/>
      <c r="H454" s="44"/>
    </row>
    <row r="455" spans="1:8">
      <c r="A455" s="45"/>
      <c r="B455" s="45"/>
      <c r="C455" s="45"/>
      <c r="D455" s="45"/>
      <c r="E455" s="45"/>
      <c r="F455" s="45"/>
      <c r="G455" s="45"/>
      <c r="H455" s="45"/>
    </row>
    <row r="456" spans="1:8">
      <c r="A456" s="44"/>
      <c r="B456" s="44"/>
      <c r="C456" s="44"/>
      <c r="D456" s="44"/>
      <c r="E456" s="44"/>
      <c r="F456" s="44"/>
      <c r="G456" s="44"/>
      <c r="H456" s="44"/>
    </row>
    <row r="457" spans="1:8">
      <c r="A457" s="45"/>
      <c r="B457" s="45"/>
      <c r="C457" s="45"/>
      <c r="D457" s="45"/>
      <c r="E457" s="45"/>
      <c r="F457" s="45"/>
      <c r="G457" s="45"/>
      <c r="H457" s="45"/>
    </row>
    <row r="458" spans="1:8">
      <c r="A458" s="44"/>
      <c r="B458" s="44"/>
      <c r="C458" s="44"/>
      <c r="D458" s="44"/>
      <c r="E458" s="44"/>
      <c r="F458" s="44"/>
      <c r="G458" s="44"/>
      <c r="H458" s="44"/>
    </row>
    <row r="459" spans="1:8">
      <c r="A459" s="45"/>
      <c r="B459" s="45"/>
      <c r="C459" s="45"/>
      <c r="D459" s="45"/>
      <c r="E459" s="45"/>
      <c r="F459" s="45"/>
      <c r="G459" s="45"/>
      <c r="H459" s="45"/>
    </row>
    <row r="460" spans="1:8">
      <c r="A460" s="44"/>
      <c r="B460" s="44"/>
      <c r="C460" s="44"/>
      <c r="D460" s="44"/>
      <c r="E460" s="44"/>
      <c r="F460" s="44"/>
      <c r="G460" s="44"/>
      <c r="H460" s="44"/>
    </row>
    <row r="461" spans="1:8">
      <c r="A461" s="45"/>
      <c r="B461" s="45"/>
      <c r="C461" s="45"/>
      <c r="D461" s="45"/>
      <c r="E461" s="45"/>
      <c r="F461" s="45"/>
      <c r="G461" s="45"/>
      <c r="H461" s="45"/>
    </row>
    <row r="462" spans="1:8">
      <c r="A462" s="44"/>
      <c r="B462" s="44"/>
      <c r="C462" s="44"/>
      <c r="D462" s="44"/>
      <c r="E462" s="44"/>
      <c r="F462" s="44"/>
      <c r="G462" s="44"/>
      <c r="H462" s="44"/>
    </row>
    <row r="463" spans="1:8">
      <c r="A463" s="45"/>
      <c r="B463" s="45"/>
      <c r="C463" s="45"/>
      <c r="D463" s="45"/>
      <c r="E463" s="45"/>
      <c r="F463" s="45"/>
      <c r="G463" s="45"/>
      <c r="H463" s="45"/>
    </row>
    <row r="464" spans="1:8">
      <c r="A464" s="44"/>
      <c r="B464" s="44"/>
      <c r="C464" s="44"/>
      <c r="D464" s="44"/>
      <c r="E464" s="44"/>
      <c r="F464" s="44"/>
      <c r="G464" s="44"/>
      <c r="H464" s="44"/>
    </row>
    <row r="465" spans="1:8">
      <c r="A465" s="45"/>
      <c r="B465" s="45"/>
      <c r="C465" s="45"/>
      <c r="D465" s="45"/>
      <c r="E465" s="45"/>
      <c r="F465" s="45"/>
      <c r="G465" s="45"/>
      <c r="H465" s="45"/>
    </row>
    <row r="466" spans="1:8">
      <c r="A466" s="44"/>
      <c r="B466" s="44"/>
      <c r="C466" s="44"/>
      <c r="D466" s="44"/>
      <c r="E466" s="44"/>
      <c r="F466" s="44"/>
      <c r="G466" s="44"/>
      <c r="H466" s="44"/>
    </row>
    <row r="467" spans="1:8">
      <c r="A467" s="45"/>
      <c r="B467" s="45"/>
      <c r="C467" s="45"/>
      <c r="D467" s="45"/>
      <c r="E467" s="45"/>
      <c r="F467" s="45"/>
      <c r="G467" s="45"/>
      <c r="H467" s="45"/>
    </row>
    <row r="468" spans="1:8">
      <c r="A468" s="44"/>
      <c r="B468" s="44"/>
      <c r="C468" s="44"/>
      <c r="D468" s="44"/>
      <c r="E468" s="44"/>
      <c r="F468" s="44"/>
      <c r="G468" s="44"/>
      <c r="H468" s="44"/>
    </row>
    <row r="469" spans="1:8">
      <c r="A469" s="45"/>
      <c r="B469" s="45"/>
      <c r="C469" s="45"/>
      <c r="D469" s="45"/>
      <c r="E469" s="45"/>
      <c r="F469" s="45"/>
      <c r="G469" s="45"/>
      <c r="H469" s="45"/>
    </row>
    <row r="470" spans="1:8">
      <c r="A470" s="44"/>
      <c r="B470" s="44"/>
      <c r="C470" s="44"/>
      <c r="D470" s="44"/>
      <c r="E470" s="44"/>
      <c r="F470" s="44"/>
      <c r="G470" s="44"/>
      <c r="H470" s="44"/>
    </row>
    <row r="471" spans="1:8">
      <c r="A471" s="45"/>
      <c r="B471" s="45"/>
      <c r="C471" s="45"/>
      <c r="D471" s="45"/>
      <c r="E471" s="45"/>
      <c r="F471" s="45"/>
      <c r="G471" s="45"/>
      <c r="H471" s="45"/>
    </row>
    <row r="472" spans="1:8">
      <c r="A472" s="44"/>
      <c r="B472" s="44"/>
      <c r="C472" s="44"/>
      <c r="D472" s="44"/>
      <c r="E472" s="44"/>
      <c r="F472" s="44"/>
      <c r="G472" s="44"/>
      <c r="H472" s="44"/>
    </row>
    <row r="473" spans="1:8">
      <c r="A473" s="45"/>
      <c r="B473" s="45"/>
      <c r="C473" s="45"/>
      <c r="D473" s="45"/>
      <c r="E473" s="45"/>
      <c r="F473" s="45"/>
      <c r="G473" s="45"/>
      <c r="H473" s="45"/>
    </row>
    <row r="474" spans="1:8">
      <c r="A474" s="44"/>
      <c r="B474" s="44"/>
      <c r="C474" s="44"/>
      <c r="D474" s="44"/>
      <c r="E474" s="44"/>
      <c r="F474" s="44"/>
      <c r="G474" s="44"/>
      <c r="H474" s="44"/>
    </row>
    <row r="475" spans="1:8">
      <c r="A475" s="45"/>
      <c r="B475" s="45"/>
      <c r="C475" s="45"/>
      <c r="D475" s="45"/>
      <c r="E475" s="45"/>
      <c r="F475" s="45"/>
      <c r="G475" s="45"/>
      <c r="H475" s="45"/>
    </row>
    <row r="476" spans="1:8">
      <c r="A476" s="44"/>
      <c r="B476" s="44"/>
      <c r="C476" s="44"/>
      <c r="D476" s="44"/>
      <c r="E476" s="44"/>
      <c r="F476" s="44"/>
      <c r="G476" s="44"/>
      <c r="H476" s="44"/>
    </row>
    <row r="477" spans="1:8">
      <c r="A477" s="45"/>
      <c r="B477" s="45"/>
      <c r="C477" s="45"/>
      <c r="D477" s="45"/>
      <c r="E477" s="45"/>
      <c r="F477" s="45"/>
      <c r="G477" s="45"/>
      <c r="H477" s="45"/>
    </row>
    <row r="478" spans="1:8">
      <c r="A478" s="44"/>
      <c r="B478" s="44"/>
      <c r="C478" s="44"/>
      <c r="D478" s="44"/>
      <c r="E478" s="44"/>
      <c r="F478" s="44"/>
      <c r="G478" s="44"/>
      <c r="H478" s="44"/>
    </row>
    <row r="479" spans="1:8">
      <c r="A479" s="45"/>
      <c r="B479" s="45"/>
      <c r="C479" s="45"/>
      <c r="D479" s="45"/>
      <c r="E479" s="45"/>
      <c r="F479" s="45"/>
      <c r="G479" s="45"/>
      <c r="H479" s="45"/>
    </row>
    <row r="480" spans="1:8">
      <c r="A480" s="44"/>
      <c r="B480" s="44"/>
      <c r="C480" s="44"/>
      <c r="D480" s="44"/>
      <c r="E480" s="44"/>
      <c r="F480" s="44"/>
      <c r="G480" s="44"/>
      <c r="H480" s="44"/>
    </row>
    <row r="481" spans="1:8">
      <c r="A481" s="45"/>
      <c r="B481" s="45"/>
      <c r="C481" s="45"/>
      <c r="D481" s="45"/>
      <c r="E481" s="45"/>
      <c r="F481" s="45"/>
      <c r="G481" s="45"/>
      <c r="H481" s="45"/>
    </row>
    <row r="482" spans="1:8">
      <c r="A482" s="44"/>
      <c r="B482" s="44"/>
      <c r="C482" s="44"/>
      <c r="D482" s="44"/>
      <c r="E482" s="44"/>
      <c r="F482" s="44"/>
      <c r="G482" s="44"/>
      <c r="H482" s="44"/>
    </row>
    <row r="483" spans="1:8">
      <c r="A483" s="45"/>
      <c r="B483" s="45"/>
      <c r="C483" s="45"/>
      <c r="D483" s="45"/>
      <c r="E483" s="45"/>
      <c r="F483" s="45"/>
      <c r="G483" s="45"/>
      <c r="H483" s="45"/>
    </row>
    <row r="484" spans="1:8">
      <c r="A484" s="44"/>
      <c r="B484" s="44"/>
      <c r="C484" s="44"/>
      <c r="D484" s="44"/>
      <c r="E484" s="44"/>
      <c r="F484" s="44"/>
      <c r="G484" s="44"/>
      <c r="H484" s="44"/>
    </row>
    <row r="485" spans="1:8">
      <c r="A485" s="45"/>
      <c r="B485" s="45"/>
      <c r="C485" s="45"/>
      <c r="D485" s="45"/>
      <c r="E485" s="45"/>
      <c r="F485" s="45"/>
      <c r="G485" s="45"/>
      <c r="H485" s="45"/>
    </row>
    <row r="486" spans="1:8">
      <c r="A486" s="44"/>
      <c r="B486" s="44"/>
      <c r="C486" s="44"/>
      <c r="D486" s="44"/>
      <c r="E486" s="44"/>
      <c r="F486" s="44"/>
      <c r="G486" s="44"/>
      <c r="H486" s="44"/>
    </row>
    <row r="487" spans="1:8">
      <c r="A487" s="45"/>
      <c r="B487" s="45"/>
      <c r="C487" s="45"/>
      <c r="D487" s="45"/>
      <c r="E487" s="45"/>
      <c r="F487" s="45"/>
      <c r="G487" s="45"/>
      <c r="H487" s="45"/>
    </row>
    <row r="488" spans="1:8">
      <c r="A488" s="44"/>
      <c r="B488" s="44"/>
      <c r="C488" s="44"/>
      <c r="D488" s="44"/>
      <c r="E488" s="44"/>
      <c r="F488" s="44"/>
      <c r="G488" s="44"/>
      <c r="H488" s="44"/>
    </row>
    <row r="489" spans="1:8">
      <c r="A489" s="45"/>
      <c r="B489" s="45"/>
      <c r="C489" s="45"/>
      <c r="D489" s="45"/>
      <c r="E489" s="45"/>
      <c r="F489" s="45"/>
      <c r="G489" s="45"/>
      <c r="H489" s="45"/>
    </row>
    <row r="490" spans="1:8">
      <c r="A490" s="44"/>
      <c r="B490" s="44"/>
      <c r="C490" s="44"/>
      <c r="D490" s="44"/>
      <c r="E490" s="44"/>
      <c r="F490" s="44"/>
      <c r="G490" s="44"/>
      <c r="H490" s="44"/>
    </row>
    <row r="491" spans="1:8">
      <c r="A491" s="45"/>
      <c r="B491" s="45"/>
      <c r="C491" s="45"/>
      <c r="D491" s="45"/>
      <c r="E491" s="45"/>
      <c r="F491" s="45"/>
      <c r="G491" s="45"/>
      <c r="H491" s="45"/>
    </row>
    <row r="492" spans="1:8">
      <c r="A492" s="44"/>
      <c r="B492" s="44"/>
      <c r="C492" s="44"/>
      <c r="D492" s="44"/>
      <c r="E492" s="44"/>
      <c r="F492" s="44"/>
      <c r="G492" s="44"/>
      <c r="H492" s="44"/>
    </row>
    <row r="493" spans="1:8">
      <c r="A493" s="45"/>
      <c r="B493" s="45"/>
      <c r="C493" s="45"/>
      <c r="D493" s="45"/>
      <c r="E493" s="45"/>
      <c r="F493" s="45"/>
      <c r="G493" s="45"/>
      <c r="H493" s="45"/>
    </row>
    <row r="494" spans="1:8">
      <c r="A494" s="44"/>
      <c r="B494" s="44"/>
      <c r="C494" s="44"/>
      <c r="D494" s="44"/>
      <c r="E494" s="44"/>
      <c r="F494" s="44"/>
      <c r="G494" s="44"/>
      <c r="H494" s="44"/>
    </row>
    <row r="495" spans="1:8">
      <c r="A495" s="45"/>
      <c r="B495" s="45"/>
      <c r="C495" s="45"/>
      <c r="D495" s="45"/>
      <c r="E495" s="45"/>
      <c r="F495" s="45"/>
      <c r="G495" s="45"/>
      <c r="H495" s="45"/>
    </row>
    <row r="496" spans="1:8">
      <c r="A496" s="44"/>
      <c r="B496" s="44"/>
      <c r="C496" s="44"/>
      <c r="D496" s="44"/>
      <c r="E496" s="44"/>
      <c r="F496" s="44"/>
      <c r="G496" s="44"/>
      <c r="H496" s="44"/>
    </row>
    <row r="497" spans="1:8">
      <c r="A497" s="45"/>
      <c r="B497" s="45"/>
      <c r="C497" s="45"/>
      <c r="D497" s="45"/>
      <c r="E497" s="45"/>
      <c r="F497" s="45"/>
      <c r="G497" s="45"/>
      <c r="H497" s="45"/>
    </row>
    <row r="498" spans="1:8">
      <c r="A498" s="44"/>
      <c r="B498" s="44"/>
      <c r="C498" s="44"/>
      <c r="D498" s="44"/>
      <c r="E498" s="44"/>
      <c r="F498" s="44"/>
      <c r="G498" s="44"/>
      <c r="H498" s="44"/>
    </row>
    <row r="499" spans="1:8">
      <c r="A499" s="45"/>
      <c r="B499" s="45"/>
      <c r="C499" s="45"/>
      <c r="D499" s="45"/>
      <c r="E499" s="45"/>
      <c r="F499" s="45"/>
      <c r="G499" s="45"/>
      <c r="H499" s="45"/>
    </row>
    <row r="500" spans="1:8">
      <c r="A500" s="44"/>
      <c r="B500" s="44"/>
      <c r="C500" s="44"/>
      <c r="D500" s="44"/>
      <c r="E500" s="44"/>
      <c r="F500" s="44"/>
      <c r="G500" s="44"/>
      <c r="H500" s="44"/>
    </row>
    <row r="501" spans="1:8">
      <c r="A501" s="45"/>
      <c r="B501" s="45"/>
      <c r="C501" s="45"/>
      <c r="D501" s="45"/>
      <c r="E501" s="45"/>
      <c r="F501" s="45"/>
      <c r="G501" s="45"/>
      <c r="H501" s="45"/>
    </row>
    <row r="502" spans="1:8">
      <c r="A502" s="44"/>
      <c r="B502" s="44"/>
      <c r="C502" s="44"/>
      <c r="D502" s="44"/>
      <c r="E502" s="44"/>
      <c r="F502" s="44"/>
      <c r="G502" s="44"/>
      <c r="H502" s="44"/>
    </row>
    <row r="503" spans="1:8">
      <c r="A503" s="45"/>
      <c r="B503" s="45"/>
      <c r="C503" s="45"/>
      <c r="D503" s="45"/>
      <c r="E503" s="45"/>
      <c r="F503" s="45"/>
      <c r="G503" s="45"/>
      <c r="H503" s="45"/>
    </row>
    <row r="504" spans="1:8">
      <c r="A504" s="44"/>
      <c r="B504" s="44"/>
      <c r="C504" s="44"/>
      <c r="D504" s="44"/>
      <c r="E504" s="44"/>
      <c r="F504" s="44"/>
      <c r="G504" s="44"/>
      <c r="H504" s="44"/>
    </row>
    <row r="505" spans="1:8">
      <c r="A505" s="45"/>
      <c r="B505" s="45"/>
      <c r="C505" s="45"/>
      <c r="D505" s="45"/>
      <c r="E505" s="45"/>
      <c r="F505" s="45"/>
      <c r="G505" s="45"/>
      <c r="H505" s="45"/>
    </row>
    <row r="506" spans="1:8">
      <c r="A506" s="44"/>
      <c r="B506" s="44"/>
      <c r="C506" s="44"/>
      <c r="D506" s="44"/>
      <c r="E506" s="44"/>
      <c r="F506" s="44"/>
      <c r="G506" s="44"/>
      <c r="H506" s="44"/>
    </row>
    <row r="507" spans="1:8">
      <c r="A507" s="45"/>
      <c r="B507" s="45"/>
      <c r="C507" s="45"/>
      <c r="D507" s="45"/>
      <c r="E507" s="45"/>
      <c r="F507" s="45"/>
      <c r="G507" s="45"/>
      <c r="H507" s="45"/>
    </row>
    <row r="508" spans="1:8">
      <c r="A508" s="44"/>
      <c r="B508" s="44"/>
      <c r="C508" s="44"/>
      <c r="D508" s="44"/>
      <c r="E508" s="44"/>
      <c r="F508" s="44"/>
      <c r="G508" s="44"/>
      <c r="H508" s="44"/>
    </row>
    <row r="509" spans="1:8">
      <c r="A509" s="45"/>
      <c r="B509" s="45"/>
      <c r="C509" s="45"/>
      <c r="D509" s="45"/>
      <c r="E509" s="45"/>
      <c r="F509" s="45"/>
      <c r="G509" s="45"/>
      <c r="H509" s="45"/>
    </row>
    <row r="510" spans="1:8">
      <c r="A510" s="44"/>
      <c r="B510" s="44"/>
      <c r="C510" s="44"/>
      <c r="D510" s="44"/>
      <c r="E510" s="44"/>
      <c r="F510" s="44"/>
      <c r="G510" s="44"/>
      <c r="H510" s="44"/>
    </row>
    <row r="511" spans="1:8">
      <c r="A511" s="45"/>
      <c r="B511" s="45"/>
      <c r="C511" s="45"/>
      <c r="D511" s="45"/>
      <c r="E511" s="45"/>
      <c r="F511" s="45"/>
      <c r="G511" s="45"/>
      <c r="H511" s="45"/>
    </row>
    <row r="512" spans="1:8">
      <c r="A512" s="44"/>
      <c r="B512" s="44"/>
      <c r="C512" s="44"/>
      <c r="D512" s="44"/>
      <c r="E512" s="44"/>
      <c r="F512" s="44"/>
      <c r="G512" s="44"/>
      <c r="H512" s="44"/>
    </row>
    <row r="513" spans="1:8">
      <c r="A513" s="45"/>
      <c r="B513" s="45"/>
      <c r="C513" s="45"/>
      <c r="D513" s="45"/>
      <c r="E513" s="45"/>
      <c r="F513" s="45"/>
      <c r="G513" s="45"/>
      <c r="H513" s="45"/>
    </row>
    <row r="514" spans="1:8">
      <c r="A514" s="44"/>
      <c r="B514" s="44"/>
      <c r="C514" s="44"/>
      <c r="D514" s="44"/>
      <c r="E514" s="44"/>
      <c r="F514" s="44"/>
      <c r="G514" s="44"/>
      <c r="H514" s="44"/>
    </row>
    <row r="515" spans="1:8">
      <c r="A515" s="45"/>
      <c r="B515" s="45"/>
      <c r="C515" s="45"/>
      <c r="D515" s="45"/>
      <c r="E515" s="45"/>
      <c r="F515" s="45"/>
      <c r="G515" s="45"/>
      <c r="H515" s="45"/>
    </row>
    <row r="516" spans="1:8">
      <c r="A516" s="44"/>
      <c r="B516" s="44"/>
      <c r="C516" s="44"/>
      <c r="D516" s="44"/>
      <c r="E516" s="44"/>
      <c r="F516" s="44"/>
      <c r="G516" s="44"/>
      <c r="H516" s="44"/>
    </row>
    <row r="517" spans="1:8">
      <c r="A517" s="45"/>
      <c r="B517" s="45"/>
      <c r="C517" s="45"/>
      <c r="D517" s="45"/>
      <c r="E517" s="45"/>
      <c r="F517" s="45"/>
      <c r="G517" s="45"/>
      <c r="H517" s="45"/>
    </row>
    <row r="518" spans="1:8">
      <c r="A518" s="44"/>
      <c r="B518" s="44"/>
      <c r="C518" s="44"/>
      <c r="D518" s="44"/>
      <c r="E518" s="44"/>
      <c r="F518" s="44"/>
      <c r="G518" s="44"/>
      <c r="H518" s="44"/>
    </row>
    <row r="519" spans="1:8">
      <c r="A519" s="45"/>
      <c r="B519" s="45"/>
      <c r="C519" s="45"/>
      <c r="D519" s="45"/>
      <c r="E519" s="45"/>
      <c r="F519" s="45"/>
      <c r="G519" s="45"/>
      <c r="H519" s="45"/>
    </row>
    <row r="520" spans="1:8">
      <c r="A520" s="44"/>
      <c r="B520" s="44"/>
      <c r="C520" s="44"/>
      <c r="D520" s="44"/>
      <c r="E520" s="44"/>
      <c r="F520" s="44"/>
      <c r="G520" s="44"/>
      <c r="H520" s="44"/>
    </row>
    <row r="521" spans="1:8">
      <c r="A521" s="45"/>
      <c r="B521" s="45"/>
      <c r="C521" s="45"/>
      <c r="D521" s="45"/>
      <c r="E521" s="45"/>
      <c r="F521" s="45"/>
      <c r="G521" s="45"/>
      <c r="H521" s="45"/>
    </row>
    <row r="522" spans="1:8">
      <c r="A522" s="44"/>
      <c r="B522" s="44"/>
      <c r="C522" s="44"/>
      <c r="D522" s="44"/>
      <c r="E522" s="44"/>
      <c r="F522" s="44"/>
      <c r="G522" s="44"/>
      <c r="H522" s="44"/>
    </row>
    <row r="523" spans="1:8">
      <c r="A523" s="45"/>
      <c r="B523" s="45"/>
      <c r="C523" s="45"/>
      <c r="D523" s="45"/>
      <c r="E523" s="45"/>
      <c r="F523" s="45"/>
      <c r="G523" s="45"/>
      <c r="H523" s="45"/>
    </row>
    <row r="524" spans="1:8">
      <c r="A524" s="44"/>
      <c r="B524" s="44"/>
      <c r="C524" s="44"/>
      <c r="D524" s="44"/>
      <c r="E524" s="44"/>
      <c r="F524" s="44"/>
      <c r="G524" s="44"/>
      <c r="H524" s="44"/>
    </row>
    <row r="525" spans="1:8">
      <c r="A525" s="45"/>
      <c r="B525" s="45"/>
      <c r="C525" s="45"/>
      <c r="D525" s="45"/>
      <c r="E525" s="45"/>
      <c r="F525" s="45"/>
      <c r="G525" s="45"/>
      <c r="H525" s="45"/>
    </row>
    <row r="526" spans="1:8">
      <c r="A526" s="44"/>
      <c r="B526" s="44"/>
      <c r="C526" s="44"/>
      <c r="D526" s="44"/>
      <c r="E526" s="44"/>
      <c r="F526" s="44"/>
      <c r="G526" s="44"/>
      <c r="H526" s="44"/>
    </row>
    <row r="527" spans="1:8">
      <c r="A527" s="45"/>
      <c r="B527" s="45"/>
      <c r="C527" s="45"/>
      <c r="D527" s="45"/>
      <c r="E527" s="45"/>
      <c r="F527" s="45"/>
      <c r="G527" s="45"/>
      <c r="H527" s="45"/>
    </row>
    <row r="528" spans="1:8">
      <c r="A528" s="44"/>
      <c r="B528" s="44"/>
      <c r="C528" s="44"/>
      <c r="D528" s="44"/>
      <c r="E528" s="44"/>
      <c r="F528" s="44"/>
      <c r="G528" s="44"/>
      <c r="H528" s="44"/>
    </row>
    <row r="529" spans="1:8">
      <c r="A529" s="45"/>
      <c r="B529" s="45"/>
      <c r="C529" s="45"/>
      <c r="D529" s="45"/>
      <c r="E529" s="45"/>
      <c r="F529" s="45"/>
      <c r="G529" s="45"/>
      <c r="H529" s="45"/>
    </row>
    <row r="530" spans="1:8">
      <c r="A530" s="44"/>
      <c r="B530" s="44"/>
      <c r="C530" s="44"/>
      <c r="D530" s="44"/>
      <c r="E530" s="44"/>
      <c r="F530" s="44"/>
      <c r="G530" s="44"/>
      <c r="H530" s="44"/>
    </row>
    <row r="531" spans="1:8">
      <c r="A531" s="45"/>
      <c r="B531" s="45"/>
      <c r="C531" s="45"/>
      <c r="D531" s="45"/>
      <c r="E531" s="45"/>
      <c r="F531" s="45"/>
      <c r="G531" s="45"/>
      <c r="H531" s="45"/>
    </row>
    <row r="532" spans="1:8">
      <c r="A532" s="44"/>
      <c r="B532" s="44"/>
      <c r="C532" s="44"/>
      <c r="D532" s="44"/>
      <c r="E532" s="44"/>
      <c r="F532" s="44"/>
      <c r="G532" s="44"/>
      <c r="H532" s="44"/>
    </row>
    <row r="533" spans="1:8">
      <c r="A533" s="45"/>
      <c r="B533" s="45"/>
      <c r="C533" s="45"/>
      <c r="D533" s="45"/>
      <c r="E533" s="45"/>
      <c r="F533" s="45"/>
      <c r="G533" s="45"/>
      <c r="H533" s="45"/>
    </row>
    <row r="534" spans="1:8">
      <c r="A534" s="44"/>
      <c r="B534" s="44"/>
      <c r="C534" s="44"/>
      <c r="D534" s="44"/>
      <c r="E534" s="44"/>
      <c r="F534" s="44"/>
      <c r="G534" s="44"/>
      <c r="H534" s="44"/>
    </row>
    <row r="535" spans="1:8">
      <c r="A535" s="45"/>
      <c r="B535" s="45"/>
      <c r="C535" s="45"/>
      <c r="D535" s="45"/>
      <c r="E535" s="45"/>
      <c r="F535" s="45"/>
      <c r="G535" s="45"/>
      <c r="H535" s="45"/>
    </row>
    <row r="536" spans="1:8">
      <c r="A536" s="44"/>
      <c r="B536" s="44"/>
      <c r="C536" s="44"/>
      <c r="D536" s="44"/>
      <c r="E536" s="44"/>
      <c r="F536" s="44"/>
      <c r="G536" s="44"/>
      <c r="H536" s="44"/>
    </row>
    <row r="537" spans="1:8">
      <c r="A537" s="45"/>
      <c r="B537" s="45"/>
      <c r="C537" s="45"/>
      <c r="D537" s="45"/>
      <c r="E537" s="45"/>
      <c r="F537" s="45"/>
      <c r="G537" s="45"/>
      <c r="H537" s="45"/>
    </row>
    <row r="538" spans="1:8">
      <c r="A538" s="44"/>
      <c r="B538" s="44"/>
      <c r="C538" s="44"/>
      <c r="D538" s="44"/>
      <c r="E538" s="44"/>
      <c r="F538" s="44"/>
      <c r="G538" s="44"/>
      <c r="H538" s="44"/>
    </row>
    <row r="539" spans="1:8">
      <c r="A539" s="45"/>
      <c r="B539" s="45"/>
      <c r="C539" s="45"/>
      <c r="D539" s="45"/>
      <c r="E539" s="45"/>
      <c r="F539" s="45"/>
      <c r="G539" s="45"/>
      <c r="H539" s="45"/>
    </row>
    <row r="540" spans="1:8">
      <c r="A540" s="44"/>
      <c r="B540" s="44"/>
      <c r="C540" s="44"/>
      <c r="D540" s="44"/>
      <c r="E540" s="44"/>
      <c r="F540" s="44"/>
      <c r="G540" s="44"/>
      <c r="H540" s="44"/>
    </row>
    <row r="541" spans="1:8">
      <c r="A541" s="45"/>
      <c r="B541" s="45"/>
      <c r="C541" s="45"/>
      <c r="D541" s="45"/>
      <c r="E541" s="45"/>
      <c r="F541" s="45"/>
      <c r="G541" s="45"/>
      <c r="H541" s="45"/>
    </row>
    <row r="542" spans="1:8">
      <c r="A542" s="44"/>
      <c r="B542" s="44"/>
      <c r="C542" s="44"/>
      <c r="D542" s="44"/>
      <c r="E542" s="44"/>
      <c r="F542" s="44"/>
      <c r="G542" s="44"/>
      <c r="H542" s="44"/>
    </row>
    <row r="543" spans="1:8">
      <c r="A543" s="45"/>
      <c r="B543" s="45"/>
      <c r="C543" s="45"/>
      <c r="D543" s="45"/>
      <c r="E543" s="45"/>
      <c r="F543" s="45"/>
      <c r="G543" s="45"/>
      <c r="H543" s="45"/>
    </row>
    <row r="544" spans="1:8">
      <c r="A544" s="44"/>
      <c r="B544" s="44"/>
      <c r="C544" s="44"/>
      <c r="D544" s="44"/>
      <c r="E544" s="44"/>
      <c r="F544" s="44"/>
      <c r="G544" s="44"/>
      <c r="H544" s="44"/>
    </row>
    <row r="545" spans="1:8">
      <c r="A545" s="45"/>
      <c r="B545" s="45"/>
      <c r="C545" s="45"/>
      <c r="D545" s="45"/>
      <c r="E545" s="45"/>
      <c r="F545" s="45"/>
      <c r="G545" s="45"/>
      <c r="H545" s="45"/>
    </row>
    <row r="546" spans="1:8">
      <c r="A546" s="44"/>
      <c r="B546" s="44"/>
      <c r="C546" s="44"/>
      <c r="D546" s="44"/>
      <c r="E546" s="44"/>
      <c r="F546" s="44"/>
      <c r="G546" s="44"/>
      <c r="H546" s="44"/>
    </row>
    <row r="547" spans="1:8">
      <c r="A547" s="45"/>
      <c r="B547" s="45"/>
      <c r="C547" s="45"/>
      <c r="D547" s="45"/>
      <c r="E547" s="45"/>
      <c r="F547" s="45"/>
      <c r="G547" s="45"/>
      <c r="H547" s="45"/>
    </row>
    <row r="548" spans="1:8">
      <c r="A548" s="44"/>
      <c r="B548" s="44"/>
      <c r="C548" s="44"/>
      <c r="D548" s="44"/>
      <c r="E548" s="44"/>
      <c r="F548" s="44"/>
      <c r="G548" s="44"/>
      <c r="H548" s="44"/>
    </row>
    <row r="549" spans="1:8">
      <c r="A549" s="45"/>
      <c r="B549" s="45"/>
      <c r="C549" s="45"/>
      <c r="D549" s="45"/>
      <c r="E549" s="45"/>
      <c r="F549" s="45"/>
      <c r="G549" s="45"/>
      <c r="H549" s="45"/>
    </row>
    <row r="550" spans="1:8">
      <c r="A550" s="44"/>
      <c r="B550" s="44"/>
      <c r="C550" s="44"/>
      <c r="D550" s="44"/>
      <c r="E550" s="44"/>
      <c r="F550" s="44"/>
      <c r="G550" s="44"/>
      <c r="H550" s="44"/>
    </row>
    <row r="551" spans="1:8">
      <c r="A551" s="45"/>
      <c r="B551" s="45"/>
      <c r="C551" s="45"/>
      <c r="D551" s="45"/>
      <c r="E551" s="45"/>
      <c r="F551" s="45"/>
      <c r="G551" s="45"/>
      <c r="H551" s="45"/>
    </row>
    <row r="552" spans="1:8">
      <c r="A552" s="44"/>
      <c r="B552" s="44"/>
      <c r="C552" s="44"/>
      <c r="D552" s="44"/>
      <c r="E552" s="44"/>
      <c r="F552" s="44"/>
      <c r="G552" s="44"/>
      <c r="H552" s="44"/>
    </row>
    <row r="553" spans="1:8">
      <c r="A553" s="45"/>
      <c r="B553" s="45"/>
      <c r="C553" s="45"/>
      <c r="D553" s="45"/>
      <c r="E553" s="45"/>
      <c r="F553" s="45"/>
      <c r="G553" s="45"/>
      <c r="H553" s="45"/>
    </row>
    <row r="554" spans="1:8">
      <c r="A554" s="44"/>
      <c r="B554" s="44"/>
      <c r="C554" s="44"/>
      <c r="D554" s="44"/>
      <c r="E554" s="44"/>
      <c r="F554" s="44"/>
      <c r="G554" s="44"/>
      <c r="H554" s="44"/>
    </row>
    <row r="555" spans="1:8">
      <c r="A555" s="45"/>
      <c r="B555" s="45"/>
      <c r="C555" s="45"/>
      <c r="D555" s="45"/>
      <c r="E555" s="45"/>
      <c r="F555" s="45"/>
      <c r="G555" s="45"/>
      <c r="H555" s="45"/>
    </row>
    <row r="556" spans="1:8">
      <c r="A556" s="44"/>
      <c r="B556" s="44"/>
      <c r="C556" s="44"/>
      <c r="D556" s="44"/>
      <c r="E556" s="44"/>
      <c r="F556" s="44"/>
      <c r="G556" s="44"/>
      <c r="H556" s="44"/>
    </row>
    <row r="557" spans="1:8">
      <c r="A557" s="45"/>
      <c r="B557" s="45"/>
      <c r="C557" s="45"/>
      <c r="D557" s="45"/>
      <c r="E557" s="45"/>
      <c r="F557" s="45"/>
      <c r="G557" s="45"/>
      <c r="H557" s="45"/>
    </row>
    <row r="558" spans="1:8">
      <c r="A558" s="44"/>
      <c r="B558" s="44"/>
      <c r="C558" s="44"/>
      <c r="D558" s="44"/>
      <c r="E558" s="44"/>
      <c r="F558" s="44"/>
      <c r="G558" s="44"/>
      <c r="H558" s="44"/>
    </row>
    <row r="559" spans="1:8">
      <c r="A559" s="45"/>
      <c r="B559" s="45"/>
      <c r="C559" s="45"/>
      <c r="D559" s="45"/>
      <c r="E559" s="45"/>
      <c r="F559" s="45"/>
      <c r="G559" s="45"/>
      <c r="H559" s="45"/>
    </row>
    <row r="560" spans="1:8">
      <c r="A560" s="44"/>
      <c r="B560" s="44"/>
      <c r="C560" s="44"/>
      <c r="D560" s="44"/>
      <c r="E560" s="44"/>
      <c r="F560" s="44"/>
      <c r="G560" s="44"/>
      <c r="H560" s="44"/>
    </row>
    <row r="561" spans="1:8">
      <c r="A561" s="45"/>
      <c r="B561" s="45"/>
      <c r="C561" s="45"/>
      <c r="D561" s="45"/>
      <c r="E561" s="45"/>
      <c r="F561" s="45"/>
      <c r="G561" s="45"/>
      <c r="H561" s="45"/>
    </row>
    <row r="562" spans="1:8">
      <c r="A562" s="44"/>
      <c r="B562" s="44"/>
      <c r="C562" s="44"/>
      <c r="D562" s="44"/>
      <c r="E562" s="44"/>
      <c r="F562" s="44"/>
      <c r="G562" s="44"/>
      <c r="H562" s="44"/>
    </row>
    <row r="563" spans="1:8">
      <c r="A563" s="45"/>
      <c r="B563" s="45"/>
      <c r="C563" s="45"/>
      <c r="D563" s="45"/>
      <c r="E563" s="45"/>
      <c r="F563" s="45"/>
      <c r="G563" s="45"/>
      <c r="H563" s="45"/>
    </row>
    <row r="564" spans="1:8">
      <c r="A564" s="44"/>
      <c r="B564" s="44"/>
      <c r="C564" s="44"/>
      <c r="D564" s="44"/>
      <c r="E564" s="44"/>
      <c r="F564" s="44"/>
      <c r="G564" s="44"/>
      <c r="H564" s="44"/>
    </row>
    <row r="565" spans="1:8">
      <c r="A565" s="45"/>
      <c r="B565" s="45"/>
      <c r="C565" s="45"/>
      <c r="D565" s="45"/>
      <c r="E565" s="45"/>
      <c r="F565" s="45"/>
      <c r="G565" s="45"/>
      <c r="H565" s="45"/>
    </row>
    <row r="566" spans="1:8">
      <c r="A566" s="44"/>
      <c r="B566" s="44"/>
      <c r="C566" s="44"/>
      <c r="D566" s="44"/>
      <c r="E566" s="44"/>
      <c r="F566" s="44"/>
      <c r="G566" s="44"/>
      <c r="H566" s="44"/>
    </row>
    <row r="567" spans="1:8">
      <c r="A567" s="45"/>
      <c r="B567" s="45"/>
      <c r="C567" s="45"/>
      <c r="D567" s="45"/>
      <c r="E567" s="45"/>
      <c r="F567" s="45"/>
      <c r="G567" s="45"/>
      <c r="H567" s="45"/>
    </row>
    <row r="568" spans="1:8">
      <c r="A568" s="44"/>
      <c r="B568" s="44"/>
      <c r="C568" s="44"/>
      <c r="D568" s="44"/>
      <c r="E568" s="44"/>
      <c r="F568" s="44"/>
      <c r="G568" s="44"/>
      <c r="H568" s="44"/>
    </row>
    <row r="569" spans="1:8">
      <c r="A569" s="45"/>
      <c r="B569" s="45"/>
      <c r="C569" s="45"/>
      <c r="D569" s="45"/>
      <c r="E569" s="45"/>
      <c r="F569" s="45"/>
      <c r="G569" s="45"/>
      <c r="H569" s="45"/>
    </row>
    <row r="570" spans="1:8">
      <c r="A570" s="44"/>
      <c r="B570" s="44"/>
      <c r="C570" s="44"/>
      <c r="D570" s="44"/>
      <c r="E570" s="44"/>
      <c r="F570" s="44"/>
      <c r="G570" s="44"/>
      <c r="H570" s="44"/>
    </row>
    <row r="571" spans="1:8">
      <c r="A571" s="45"/>
      <c r="B571" s="45"/>
      <c r="C571" s="45"/>
      <c r="D571" s="45"/>
      <c r="E571" s="45"/>
      <c r="F571" s="45"/>
      <c r="G571" s="45"/>
      <c r="H571" s="45"/>
    </row>
    <row r="572" spans="1:8">
      <c r="A572" s="44"/>
      <c r="B572" s="44"/>
      <c r="C572" s="44"/>
      <c r="D572" s="44"/>
      <c r="E572" s="44"/>
      <c r="F572" s="44"/>
      <c r="G572" s="44"/>
      <c r="H572" s="44"/>
    </row>
    <row r="573" spans="1:8">
      <c r="A573" s="45"/>
      <c r="B573" s="45"/>
      <c r="C573" s="45"/>
      <c r="D573" s="45"/>
      <c r="E573" s="45"/>
      <c r="F573" s="45"/>
      <c r="G573" s="45"/>
      <c r="H573" s="45"/>
    </row>
    <row r="574" spans="1:8">
      <c r="A574" s="44"/>
      <c r="B574" s="44"/>
      <c r="C574" s="44"/>
      <c r="D574" s="44"/>
      <c r="E574" s="44"/>
      <c r="F574" s="44"/>
      <c r="G574" s="44"/>
      <c r="H574" s="44"/>
    </row>
    <row r="575" spans="1:8">
      <c r="A575" s="45"/>
      <c r="B575" s="45"/>
      <c r="C575" s="45"/>
      <c r="D575" s="45"/>
      <c r="E575" s="45"/>
      <c r="F575" s="45"/>
      <c r="G575" s="45"/>
      <c r="H575" s="45"/>
    </row>
    <row r="576" spans="1:8">
      <c r="A576" s="44"/>
      <c r="B576" s="44"/>
      <c r="C576" s="44"/>
      <c r="D576" s="44"/>
      <c r="E576" s="44"/>
      <c r="F576" s="44"/>
      <c r="G576" s="44"/>
      <c r="H576" s="44"/>
    </row>
    <row r="577" spans="1:8">
      <c r="A577" s="45"/>
      <c r="B577" s="45"/>
      <c r="C577" s="45"/>
      <c r="D577" s="45"/>
      <c r="E577" s="45"/>
      <c r="F577" s="45"/>
      <c r="G577" s="45"/>
      <c r="H577" s="45"/>
    </row>
    <row r="578" spans="1:8">
      <c r="A578" s="44"/>
      <c r="B578" s="44"/>
      <c r="C578" s="44"/>
      <c r="D578" s="44"/>
      <c r="E578" s="44"/>
      <c r="F578" s="44"/>
      <c r="G578" s="44"/>
      <c r="H578" s="44"/>
    </row>
    <row r="579" spans="1:8">
      <c r="A579" s="45"/>
      <c r="B579" s="45"/>
      <c r="C579" s="45"/>
      <c r="D579" s="45"/>
      <c r="E579" s="45"/>
      <c r="F579" s="45"/>
      <c r="G579" s="45"/>
      <c r="H579" s="45"/>
    </row>
    <row r="580" spans="1:8">
      <c r="A580" s="44"/>
      <c r="B580" s="44"/>
      <c r="C580" s="44"/>
      <c r="D580" s="44"/>
      <c r="E580" s="44"/>
      <c r="F580" s="44"/>
      <c r="G580" s="44"/>
      <c r="H580" s="44"/>
    </row>
    <row r="581" spans="1:8">
      <c r="A581" s="45"/>
      <c r="B581" s="45"/>
      <c r="C581" s="45"/>
      <c r="D581" s="45"/>
      <c r="E581" s="45"/>
      <c r="F581" s="45"/>
      <c r="G581" s="45"/>
      <c r="H581" s="45"/>
    </row>
    <row r="582" spans="1:8">
      <c r="A582" s="44"/>
      <c r="B582" s="44"/>
      <c r="C582" s="44"/>
      <c r="D582" s="44"/>
      <c r="E582" s="44"/>
      <c r="F582" s="44"/>
      <c r="G582" s="44"/>
      <c r="H582" s="44"/>
    </row>
    <row r="583" spans="1:8">
      <c r="A583" s="45"/>
      <c r="B583" s="45"/>
      <c r="C583" s="45"/>
      <c r="D583" s="45"/>
      <c r="E583" s="45"/>
      <c r="F583" s="45"/>
      <c r="G583" s="45"/>
      <c r="H583" s="45"/>
    </row>
    <row r="584" spans="1:8">
      <c r="A584" s="44"/>
      <c r="B584" s="44"/>
      <c r="C584" s="44"/>
      <c r="D584" s="44"/>
      <c r="E584" s="44"/>
      <c r="F584" s="44"/>
      <c r="G584" s="44"/>
      <c r="H584" s="44"/>
    </row>
    <row r="585" spans="1:8">
      <c r="A585" s="45"/>
      <c r="B585" s="45"/>
      <c r="C585" s="45"/>
      <c r="D585" s="45"/>
      <c r="E585" s="45"/>
      <c r="F585" s="45"/>
      <c r="G585" s="45"/>
      <c r="H585" s="45"/>
    </row>
    <row r="586" spans="1:8">
      <c r="A586" s="44"/>
      <c r="B586" s="44"/>
      <c r="C586" s="44"/>
      <c r="D586" s="44"/>
      <c r="E586" s="44"/>
      <c r="F586" s="44"/>
      <c r="G586" s="44"/>
      <c r="H586" s="44"/>
    </row>
    <row r="587" spans="1:8">
      <c r="A587" s="45"/>
      <c r="B587" s="45"/>
      <c r="C587" s="45"/>
      <c r="D587" s="45"/>
      <c r="E587" s="45"/>
      <c r="F587" s="45"/>
      <c r="G587" s="45"/>
      <c r="H587" s="45"/>
    </row>
    <row r="588" spans="1:8">
      <c r="A588" s="44"/>
      <c r="B588" s="44"/>
      <c r="C588" s="44"/>
      <c r="D588" s="44"/>
      <c r="E588" s="44"/>
      <c r="F588" s="44"/>
      <c r="G588" s="44"/>
      <c r="H588" s="44"/>
    </row>
    <row r="589" spans="1:8">
      <c r="A589" s="45"/>
      <c r="B589" s="45"/>
      <c r="C589" s="45"/>
      <c r="D589" s="45"/>
      <c r="E589" s="45"/>
      <c r="F589" s="45"/>
      <c r="G589" s="45"/>
      <c r="H589" s="45"/>
    </row>
    <row r="590" spans="1:8">
      <c r="A590" s="44"/>
      <c r="B590" s="44"/>
      <c r="C590" s="44"/>
      <c r="D590" s="44"/>
      <c r="E590" s="44"/>
      <c r="F590" s="44"/>
      <c r="G590" s="44"/>
      <c r="H590" s="44"/>
    </row>
    <row r="591" spans="1:8">
      <c r="A591" s="45"/>
      <c r="B591" s="45"/>
      <c r="C591" s="45"/>
      <c r="D591" s="45"/>
      <c r="E591" s="45"/>
      <c r="F591" s="45"/>
      <c r="G591" s="45"/>
      <c r="H591" s="45"/>
    </row>
    <row r="592" spans="1:8">
      <c r="A592" s="44"/>
      <c r="B592" s="44"/>
      <c r="C592" s="44"/>
      <c r="D592" s="44"/>
      <c r="E592" s="44"/>
      <c r="F592" s="44"/>
      <c r="G592" s="44"/>
      <c r="H592" s="44"/>
    </row>
    <row r="593" spans="1:8">
      <c r="A593" s="45"/>
      <c r="B593" s="45"/>
      <c r="C593" s="45"/>
      <c r="D593" s="45"/>
      <c r="E593" s="45"/>
      <c r="F593" s="45"/>
      <c r="G593" s="45"/>
      <c r="H593" s="45"/>
    </row>
    <row r="594" spans="1:8">
      <c r="A594" s="44"/>
      <c r="B594" s="44"/>
      <c r="C594" s="44"/>
      <c r="D594" s="44"/>
      <c r="E594" s="44"/>
      <c r="F594" s="44"/>
      <c r="G594" s="44"/>
      <c r="H594" s="44"/>
    </row>
    <row r="595" spans="1:8">
      <c r="A595" s="45"/>
      <c r="B595" s="45"/>
      <c r="C595" s="45"/>
      <c r="D595" s="45"/>
      <c r="E595" s="45"/>
      <c r="F595" s="45"/>
      <c r="G595" s="45"/>
      <c r="H595" s="45"/>
    </row>
    <row r="596" spans="1:8">
      <c r="A596" s="44"/>
      <c r="B596" s="44"/>
      <c r="C596" s="44"/>
      <c r="D596" s="44"/>
      <c r="E596" s="44"/>
      <c r="F596" s="44"/>
      <c r="G596" s="44"/>
      <c r="H596" s="44"/>
    </row>
    <row r="597" spans="1:8">
      <c r="A597" s="45"/>
      <c r="B597" s="45"/>
      <c r="C597" s="45"/>
      <c r="D597" s="45"/>
      <c r="E597" s="45"/>
      <c r="F597" s="45"/>
      <c r="G597" s="45"/>
      <c r="H597" s="45"/>
    </row>
    <row r="598" spans="1:8">
      <c r="A598" s="44"/>
      <c r="B598" s="44"/>
      <c r="C598" s="44"/>
      <c r="D598" s="44"/>
      <c r="E598" s="44"/>
      <c r="F598" s="44"/>
      <c r="G598" s="44"/>
      <c r="H598" s="44"/>
    </row>
    <row r="599" spans="1:8">
      <c r="A599" s="45"/>
      <c r="B599" s="45"/>
      <c r="C599" s="45"/>
      <c r="D599" s="45"/>
      <c r="E599" s="45"/>
      <c r="F599" s="45"/>
      <c r="G599" s="45"/>
      <c r="H599" s="45"/>
    </row>
    <row r="600" spans="1:8">
      <c r="A600" s="44"/>
      <c r="B600" s="44"/>
      <c r="C600" s="44"/>
      <c r="D600" s="44"/>
      <c r="E600" s="44"/>
      <c r="F600" s="44"/>
      <c r="G600" s="44"/>
      <c r="H600" s="44"/>
    </row>
    <row r="601" spans="1:8">
      <c r="A601" s="45"/>
      <c r="B601" s="45"/>
      <c r="C601" s="45"/>
      <c r="D601" s="45"/>
      <c r="E601" s="45"/>
      <c r="F601" s="45"/>
      <c r="G601" s="45"/>
      <c r="H601" s="45"/>
    </row>
    <row r="602" spans="1:8">
      <c r="A602" s="44"/>
      <c r="B602" s="44"/>
      <c r="C602" s="44"/>
      <c r="D602" s="44"/>
      <c r="E602" s="44"/>
      <c r="F602" s="44"/>
      <c r="G602" s="44"/>
      <c r="H602" s="44"/>
    </row>
    <row r="603" spans="1:8">
      <c r="A603" s="45"/>
      <c r="B603" s="45"/>
      <c r="C603" s="45"/>
      <c r="D603" s="45"/>
      <c r="E603" s="45"/>
      <c r="F603" s="45"/>
      <c r="G603" s="45"/>
      <c r="H603" s="45"/>
    </row>
    <row r="604" spans="1:8">
      <c r="A604" s="44"/>
      <c r="B604" s="44"/>
      <c r="C604" s="44"/>
      <c r="D604" s="44"/>
      <c r="E604" s="44"/>
      <c r="F604" s="44"/>
      <c r="G604" s="44"/>
      <c r="H604" s="44"/>
    </row>
    <row r="605" spans="1:8">
      <c r="A605" s="45"/>
      <c r="B605" s="45"/>
      <c r="C605" s="45"/>
      <c r="D605" s="45"/>
      <c r="E605" s="45"/>
      <c r="F605" s="45"/>
      <c r="G605" s="45"/>
      <c r="H605" s="45"/>
    </row>
    <row r="606" spans="1:8">
      <c r="A606" s="44"/>
      <c r="B606" s="44"/>
      <c r="C606" s="44"/>
      <c r="D606" s="44"/>
      <c r="E606" s="44"/>
      <c r="F606" s="44"/>
      <c r="G606" s="44"/>
      <c r="H606" s="44"/>
    </row>
    <row r="607" spans="1:8">
      <c r="A607" s="45"/>
      <c r="B607" s="45"/>
      <c r="C607" s="45"/>
      <c r="D607" s="45"/>
      <c r="E607" s="45"/>
      <c r="F607" s="45"/>
      <c r="G607" s="45"/>
      <c r="H607" s="45"/>
    </row>
    <row r="608" spans="1:8">
      <c r="A608" s="44"/>
      <c r="B608" s="44"/>
      <c r="C608" s="44"/>
      <c r="D608" s="44"/>
      <c r="E608" s="44"/>
      <c r="F608" s="44"/>
      <c r="G608" s="44"/>
      <c r="H608" s="44"/>
    </row>
    <row r="609" spans="1:8">
      <c r="A609" s="45"/>
      <c r="B609" s="45"/>
      <c r="C609" s="45"/>
      <c r="D609" s="45"/>
      <c r="E609" s="45"/>
      <c r="F609" s="45"/>
      <c r="G609" s="45"/>
      <c r="H609" s="45"/>
    </row>
    <row r="610" spans="1:8">
      <c r="A610" s="44"/>
      <c r="B610" s="44"/>
      <c r="C610" s="44"/>
      <c r="D610" s="44"/>
      <c r="E610" s="44"/>
      <c r="F610" s="44"/>
      <c r="G610" s="44"/>
      <c r="H610" s="44"/>
    </row>
    <row r="611" spans="1:8">
      <c r="A611" s="45"/>
      <c r="B611" s="45"/>
      <c r="C611" s="45"/>
      <c r="D611" s="45"/>
      <c r="E611" s="45"/>
      <c r="F611" s="45"/>
      <c r="G611" s="45"/>
      <c r="H611" s="45"/>
    </row>
    <row r="612" spans="1:8">
      <c r="A612" s="44"/>
      <c r="B612" s="44"/>
      <c r="C612" s="44"/>
      <c r="D612" s="44"/>
      <c r="E612" s="44"/>
      <c r="F612" s="44"/>
      <c r="G612" s="44"/>
      <c r="H612" s="44"/>
    </row>
    <row r="613" spans="1:8">
      <c r="A613" s="45"/>
      <c r="B613" s="45"/>
      <c r="C613" s="45"/>
      <c r="D613" s="45"/>
      <c r="E613" s="45"/>
      <c r="F613" s="45"/>
      <c r="G613" s="45"/>
      <c r="H613" s="45"/>
    </row>
    <row r="614" spans="1:8">
      <c r="A614" s="44"/>
      <c r="B614" s="44"/>
      <c r="C614" s="44"/>
      <c r="D614" s="44"/>
      <c r="E614" s="44"/>
      <c r="F614" s="44"/>
      <c r="G614" s="44"/>
      <c r="H614" s="44"/>
    </row>
    <row r="615" spans="1:8">
      <c r="A615" s="45"/>
      <c r="B615" s="45"/>
      <c r="C615" s="45"/>
      <c r="D615" s="45"/>
      <c r="E615" s="45"/>
      <c r="F615" s="45"/>
      <c r="G615" s="45"/>
      <c r="H615" s="45"/>
    </row>
    <row r="616" spans="1:8">
      <c r="A616" s="44"/>
      <c r="B616" s="44"/>
      <c r="C616" s="44"/>
      <c r="D616" s="44"/>
      <c r="E616" s="44"/>
      <c r="F616" s="44"/>
      <c r="G616" s="44"/>
      <c r="H616" s="44"/>
    </row>
    <row r="617" spans="1:8">
      <c r="A617" s="45"/>
      <c r="B617" s="45"/>
      <c r="C617" s="45"/>
      <c r="D617" s="45"/>
      <c r="E617" s="45"/>
      <c r="F617" s="45"/>
      <c r="G617" s="45"/>
      <c r="H617" s="45"/>
    </row>
    <row r="618" spans="1:8">
      <c r="A618" s="44"/>
      <c r="B618" s="44"/>
      <c r="C618" s="44"/>
      <c r="D618" s="44"/>
      <c r="E618" s="44"/>
      <c r="F618" s="44"/>
      <c r="G618" s="44"/>
      <c r="H618" s="44"/>
    </row>
    <row r="619" spans="1:8">
      <c r="A619" s="45"/>
      <c r="B619" s="45"/>
      <c r="C619" s="45"/>
      <c r="D619" s="45"/>
      <c r="E619" s="45"/>
      <c r="F619" s="45"/>
      <c r="G619" s="45"/>
      <c r="H619" s="45"/>
    </row>
    <row r="620" spans="1:8">
      <c r="A620" s="44"/>
      <c r="B620" s="44"/>
      <c r="C620" s="44"/>
      <c r="D620" s="44"/>
      <c r="E620" s="44"/>
      <c r="F620" s="44"/>
      <c r="G620" s="44"/>
      <c r="H620" s="44"/>
    </row>
    <row r="621" spans="1:8">
      <c r="A621" s="45"/>
      <c r="B621" s="45"/>
      <c r="C621" s="45"/>
      <c r="D621" s="45"/>
      <c r="E621" s="45"/>
      <c r="F621" s="45"/>
      <c r="G621" s="45"/>
      <c r="H621" s="45"/>
    </row>
    <row r="622" spans="1:8">
      <c r="A622" s="44"/>
      <c r="B622" s="44"/>
      <c r="C622" s="44"/>
      <c r="D622" s="44"/>
      <c r="E622" s="44"/>
      <c r="F622" s="44"/>
      <c r="G622" s="44"/>
      <c r="H622" s="44"/>
    </row>
    <row r="623" spans="1:8">
      <c r="A623" s="45"/>
      <c r="B623" s="45"/>
      <c r="C623" s="45"/>
      <c r="D623" s="45"/>
      <c r="E623" s="45"/>
      <c r="F623" s="45"/>
      <c r="G623" s="45"/>
      <c r="H623" s="45"/>
    </row>
    <row r="624" spans="1:8">
      <c r="A624" s="44"/>
      <c r="B624" s="44"/>
      <c r="C624" s="44"/>
      <c r="D624" s="44"/>
      <c r="E624" s="44"/>
      <c r="F624" s="44"/>
      <c r="G624" s="44"/>
      <c r="H624" s="44"/>
    </row>
    <row r="625" spans="1:8">
      <c r="A625" s="45"/>
      <c r="B625" s="45"/>
      <c r="C625" s="45"/>
      <c r="D625" s="45"/>
      <c r="E625" s="45"/>
      <c r="F625" s="45"/>
      <c r="G625" s="45"/>
      <c r="H625" s="45"/>
    </row>
    <row r="626" spans="1:8">
      <c r="A626" s="44"/>
      <c r="B626" s="44"/>
      <c r="C626" s="44"/>
      <c r="D626" s="44"/>
      <c r="E626" s="44"/>
      <c r="F626" s="44"/>
      <c r="G626" s="44"/>
      <c r="H626" s="44"/>
    </row>
    <row r="627" spans="1:8">
      <c r="A627" s="45"/>
      <c r="B627" s="45"/>
      <c r="C627" s="45"/>
      <c r="D627" s="45"/>
      <c r="E627" s="45"/>
      <c r="F627" s="45"/>
      <c r="G627" s="45"/>
      <c r="H627" s="45"/>
    </row>
    <row r="628" spans="1:8">
      <c r="A628" s="44"/>
      <c r="B628" s="44"/>
      <c r="C628" s="44"/>
      <c r="D628" s="44"/>
      <c r="E628" s="44"/>
      <c r="F628" s="44"/>
      <c r="G628" s="44"/>
      <c r="H628" s="44"/>
    </row>
    <row r="629" spans="1:8">
      <c r="A629" s="45"/>
      <c r="B629" s="45"/>
      <c r="C629" s="45"/>
      <c r="D629" s="45"/>
      <c r="E629" s="45"/>
      <c r="F629" s="45"/>
      <c r="G629" s="45"/>
      <c r="H629" s="45"/>
    </row>
    <row r="630" spans="1:8">
      <c r="A630" s="44"/>
      <c r="B630" s="44"/>
      <c r="C630" s="44"/>
      <c r="D630" s="44"/>
      <c r="E630" s="44"/>
      <c r="F630" s="44"/>
      <c r="G630" s="44"/>
      <c r="H630" s="44"/>
    </row>
    <row r="631" spans="1:8">
      <c r="A631" s="45"/>
      <c r="B631" s="45"/>
      <c r="C631" s="45"/>
      <c r="D631" s="45"/>
      <c r="E631" s="45"/>
      <c r="F631" s="45"/>
      <c r="G631" s="45"/>
      <c r="H631" s="45"/>
    </row>
    <row r="632" spans="1:8">
      <c r="A632" s="44"/>
      <c r="B632" s="44"/>
      <c r="C632" s="44"/>
      <c r="D632" s="44"/>
      <c r="E632" s="44"/>
      <c r="F632" s="44"/>
      <c r="G632" s="44"/>
      <c r="H632" s="44"/>
    </row>
    <row r="633" spans="1:8">
      <c r="A633" s="45"/>
      <c r="B633" s="45"/>
      <c r="C633" s="45"/>
      <c r="D633" s="45"/>
      <c r="E633" s="45"/>
      <c r="F633" s="45"/>
      <c r="G633" s="45"/>
      <c r="H633" s="45"/>
    </row>
    <row r="634" spans="1:8">
      <c r="A634" s="44"/>
      <c r="B634" s="44"/>
      <c r="C634" s="44"/>
      <c r="D634" s="44"/>
      <c r="E634" s="44"/>
      <c r="F634" s="44"/>
      <c r="G634" s="44"/>
      <c r="H634" s="44"/>
    </row>
    <row r="635" spans="1:8">
      <c r="A635" s="45"/>
      <c r="B635" s="45"/>
      <c r="C635" s="45"/>
      <c r="D635" s="45"/>
      <c r="E635" s="45"/>
      <c r="F635" s="45"/>
      <c r="G635" s="45"/>
      <c r="H635" s="45"/>
    </row>
    <row r="636" spans="1:8">
      <c r="A636" s="44"/>
      <c r="B636" s="44"/>
      <c r="C636" s="44"/>
      <c r="D636" s="44"/>
      <c r="E636" s="44"/>
      <c r="F636" s="44"/>
      <c r="G636" s="44"/>
      <c r="H636" s="44"/>
    </row>
    <row r="637" spans="1:8">
      <c r="A637" s="45"/>
      <c r="B637" s="45"/>
      <c r="C637" s="45"/>
      <c r="D637" s="45"/>
      <c r="E637" s="45"/>
      <c r="F637" s="45"/>
      <c r="G637" s="45"/>
      <c r="H637" s="45"/>
    </row>
    <row r="638" spans="1:8">
      <c r="A638" s="44"/>
      <c r="B638" s="44"/>
      <c r="C638" s="44"/>
      <c r="D638" s="44"/>
      <c r="E638" s="44"/>
      <c r="F638" s="44"/>
      <c r="G638" s="44"/>
      <c r="H638" s="44"/>
    </row>
    <row r="639" spans="1:8">
      <c r="A639" s="45"/>
      <c r="B639" s="45"/>
      <c r="C639" s="45"/>
      <c r="D639" s="45"/>
      <c r="E639" s="45"/>
      <c r="F639" s="45"/>
      <c r="G639" s="45"/>
      <c r="H639" s="45"/>
    </row>
    <row r="640" spans="1:8">
      <c r="A640" s="44"/>
      <c r="B640" s="44"/>
      <c r="C640" s="44"/>
      <c r="D640" s="44"/>
      <c r="E640" s="44"/>
      <c r="F640" s="44"/>
      <c r="G640" s="44"/>
      <c r="H640" s="44"/>
    </row>
    <row r="641" spans="1:8">
      <c r="A641" s="45"/>
      <c r="B641" s="45"/>
      <c r="C641" s="45"/>
      <c r="D641" s="45"/>
      <c r="E641" s="45"/>
      <c r="F641" s="45"/>
      <c r="G641" s="45"/>
      <c r="H641" s="45"/>
    </row>
    <row r="642" spans="1:8">
      <c r="A642" s="44"/>
      <c r="B642" s="44"/>
      <c r="C642" s="44"/>
      <c r="D642" s="44"/>
      <c r="E642" s="44"/>
      <c r="F642" s="44"/>
      <c r="G642" s="44"/>
      <c r="H642" s="44"/>
    </row>
    <row r="643" spans="1:8">
      <c r="A643" s="45"/>
      <c r="B643" s="45"/>
      <c r="C643" s="45"/>
      <c r="D643" s="45"/>
      <c r="E643" s="45"/>
      <c r="F643" s="45"/>
      <c r="G643" s="45"/>
      <c r="H643" s="45"/>
    </row>
    <row r="644" spans="1:8">
      <c r="A644" s="44"/>
      <c r="B644" s="44"/>
      <c r="C644" s="44"/>
      <c r="D644" s="44"/>
      <c r="E644" s="44"/>
      <c r="F644" s="44"/>
      <c r="G644" s="44"/>
      <c r="H644" s="44"/>
    </row>
    <row r="645" spans="1:8">
      <c r="A645" s="45"/>
      <c r="B645" s="45"/>
      <c r="C645" s="45"/>
      <c r="D645" s="45"/>
      <c r="E645" s="45"/>
      <c r="F645" s="45"/>
      <c r="G645" s="45"/>
      <c r="H645" s="45"/>
    </row>
    <row r="646" spans="1:8">
      <c r="A646" s="44"/>
      <c r="B646" s="44"/>
      <c r="C646" s="44"/>
      <c r="D646" s="44"/>
      <c r="E646" s="44"/>
      <c r="F646" s="44"/>
      <c r="G646" s="44"/>
      <c r="H646" s="44"/>
    </row>
    <row r="647" spans="1:8">
      <c r="A647" s="45"/>
      <c r="B647" s="45"/>
      <c r="C647" s="45"/>
      <c r="D647" s="45"/>
      <c r="E647" s="45"/>
      <c r="F647" s="45"/>
      <c r="G647" s="45"/>
      <c r="H647" s="45"/>
    </row>
    <row r="648" spans="1:8">
      <c r="A648" s="44"/>
      <c r="B648" s="44"/>
      <c r="C648" s="44"/>
      <c r="D648" s="44"/>
      <c r="E648" s="44"/>
      <c r="F648" s="44"/>
      <c r="G648" s="44"/>
      <c r="H648" s="44"/>
    </row>
    <row r="649" spans="1:8">
      <c r="A649" s="45"/>
      <c r="B649" s="45"/>
      <c r="C649" s="45"/>
      <c r="D649" s="45"/>
      <c r="E649" s="45"/>
      <c r="F649" s="45"/>
      <c r="G649" s="45"/>
      <c r="H649" s="45"/>
    </row>
    <row r="650" spans="1:8">
      <c r="A650" s="44"/>
      <c r="B650" s="44"/>
      <c r="C650" s="44"/>
      <c r="D650" s="44"/>
      <c r="E650" s="44"/>
      <c r="F650" s="44"/>
      <c r="G650" s="44"/>
      <c r="H650" s="44"/>
    </row>
    <row r="651" spans="1:8">
      <c r="A651" s="45"/>
      <c r="B651" s="45"/>
      <c r="C651" s="45"/>
      <c r="D651" s="45"/>
      <c r="E651" s="45"/>
      <c r="F651" s="45"/>
      <c r="G651" s="45"/>
      <c r="H651" s="45"/>
    </row>
    <row r="652" spans="1:8">
      <c r="A652" s="44"/>
      <c r="B652" s="44"/>
      <c r="C652" s="44"/>
      <c r="D652" s="44"/>
      <c r="E652" s="44"/>
      <c r="F652" s="44"/>
      <c r="G652" s="44"/>
      <c r="H652" s="44"/>
    </row>
    <row r="653" spans="1:8">
      <c r="A653" s="45"/>
      <c r="B653" s="45"/>
      <c r="C653" s="45"/>
      <c r="D653" s="45"/>
      <c r="E653" s="45"/>
      <c r="F653" s="45"/>
      <c r="G653" s="45"/>
      <c r="H653" s="45"/>
    </row>
    <row r="654" spans="1:8">
      <c r="A654" s="44"/>
      <c r="B654" s="44"/>
      <c r="C654" s="44"/>
      <c r="D654" s="44"/>
      <c r="E654" s="44"/>
      <c r="F654" s="44"/>
      <c r="G654" s="44"/>
      <c r="H654" s="44"/>
    </row>
    <row r="655" spans="1:8">
      <c r="A655" s="45"/>
      <c r="B655" s="45"/>
      <c r="C655" s="45"/>
      <c r="D655" s="45"/>
      <c r="E655" s="45"/>
      <c r="F655" s="45"/>
      <c r="G655" s="45"/>
      <c r="H655" s="45"/>
    </row>
    <row r="656" spans="1:8">
      <c r="A656" s="44"/>
      <c r="B656" s="44"/>
      <c r="C656" s="44"/>
      <c r="D656" s="44"/>
      <c r="E656" s="44"/>
      <c r="F656" s="44"/>
      <c r="G656" s="44"/>
      <c r="H656" s="44"/>
    </row>
    <row r="657" spans="1:8">
      <c r="A657" s="45"/>
      <c r="B657" s="45"/>
      <c r="C657" s="45"/>
      <c r="D657" s="45"/>
      <c r="E657" s="45"/>
      <c r="F657" s="45"/>
      <c r="G657" s="45"/>
      <c r="H657" s="45"/>
    </row>
    <row r="658" spans="1:8">
      <c r="A658" s="44"/>
      <c r="B658" s="44"/>
      <c r="C658" s="44"/>
      <c r="D658" s="44"/>
      <c r="E658" s="44"/>
      <c r="F658" s="44"/>
      <c r="G658" s="44"/>
      <c r="H658" s="44"/>
    </row>
    <row r="659" spans="1:8">
      <c r="A659" s="45"/>
      <c r="B659" s="45"/>
      <c r="C659" s="45"/>
      <c r="D659" s="45"/>
      <c r="E659" s="45"/>
      <c r="F659" s="45"/>
      <c r="G659" s="45"/>
      <c r="H659" s="45"/>
    </row>
    <row r="660" spans="1:8">
      <c r="A660" s="44"/>
      <c r="B660" s="44"/>
      <c r="C660" s="44"/>
      <c r="D660" s="44"/>
      <c r="E660" s="44"/>
      <c r="F660" s="44"/>
      <c r="G660" s="44"/>
      <c r="H660" s="44"/>
    </row>
    <row r="661" spans="1:8">
      <c r="A661" s="45"/>
      <c r="B661" s="45"/>
      <c r="C661" s="45"/>
      <c r="D661" s="45"/>
      <c r="E661" s="45"/>
      <c r="F661" s="45"/>
      <c r="G661" s="45"/>
      <c r="H661" s="45"/>
    </row>
    <row r="662" spans="1:8">
      <c r="A662" s="44"/>
      <c r="B662" s="44"/>
      <c r="C662" s="44"/>
      <c r="D662" s="44"/>
      <c r="E662" s="44"/>
      <c r="F662" s="44"/>
      <c r="G662" s="44"/>
      <c r="H662" s="44"/>
    </row>
    <row r="663" spans="1:8">
      <c r="A663" s="45"/>
      <c r="B663" s="45"/>
      <c r="C663" s="45"/>
      <c r="D663" s="45"/>
      <c r="E663" s="45"/>
      <c r="F663" s="45"/>
      <c r="G663" s="45"/>
      <c r="H663" s="45"/>
    </row>
    <row r="664" spans="1:8">
      <c r="A664" s="44"/>
      <c r="B664" s="44"/>
      <c r="C664" s="44"/>
      <c r="D664" s="44"/>
      <c r="E664" s="44"/>
      <c r="F664" s="44"/>
      <c r="G664" s="44"/>
      <c r="H664" s="44"/>
    </row>
    <row r="665" spans="1:8">
      <c r="A665" s="45"/>
      <c r="B665" s="45"/>
      <c r="C665" s="45"/>
      <c r="D665" s="45"/>
      <c r="E665" s="45"/>
      <c r="F665" s="45"/>
      <c r="G665" s="45"/>
      <c r="H665" s="45"/>
    </row>
    <row r="666" spans="1:8">
      <c r="A666" s="44"/>
      <c r="B666" s="44"/>
      <c r="C666" s="44"/>
      <c r="D666" s="44"/>
      <c r="E666" s="44"/>
      <c r="F666" s="44"/>
      <c r="G666" s="44"/>
      <c r="H666" s="44"/>
    </row>
    <row r="667" spans="1:8">
      <c r="A667" s="45"/>
      <c r="B667" s="45"/>
      <c r="C667" s="45"/>
      <c r="D667" s="45"/>
      <c r="E667" s="45"/>
      <c r="F667" s="45"/>
      <c r="G667" s="45"/>
      <c r="H667" s="45"/>
    </row>
    <row r="668" spans="1:8">
      <c r="A668" s="44"/>
      <c r="B668" s="44"/>
      <c r="C668" s="44"/>
      <c r="D668" s="44"/>
      <c r="E668" s="44"/>
      <c r="F668" s="44"/>
      <c r="G668" s="44"/>
      <c r="H668" s="44"/>
    </row>
    <row r="669" spans="1:8">
      <c r="A669" s="45"/>
      <c r="B669" s="45"/>
      <c r="C669" s="45"/>
      <c r="D669" s="45"/>
      <c r="E669" s="45"/>
      <c r="F669" s="45"/>
      <c r="G669" s="45"/>
      <c r="H669" s="45"/>
    </row>
    <row r="670" spans="1:8">
      <c r="A670" s="44"/>
      <c r="B670" s="44"/>
      <c r="C670" s="44"/>
      <c r="D670" s="44"/>
      <c r="E670" s="44"/>
      <c r="F670" s="44"/>
      <c r="G670" s="44"/>
      <c r="H670" s="44"/>
    </row>
    <row r="671" spans="1:8">
      <c r="A671" s="45"/>
      <c r="B671" s="45"/>
      <c r="C671" s="45"/>
      <c r="D671" s="45"/>
      <c r="E671" s="45"/>
      <c r="F671" s="45"/>
      <c r="G671" s="45"/>
      <c r="H671" s="45"/>
    </row>
    <row r="672" spans="1:8">
      <c r="A672" s="44"/>
      <c r="B672" s="44"/>
      <c r="C672" s="44"/>
      <c r="D672" s="44"/>
      <c r="E672" s="44"/>
      <c r="F672" s="44"/>
      <c r="G672" s="44"/>
      <c r="H672" s="44"/>
    </row>
    <row r="673" spans="1:8">
      <c r="A673" s="45"/>
      <c r="B673" s="45"/>
      <c r="C673" s="45"/>
      <c r="D673" s="45"/>
      <c r="E673" s="45"/>
      <c r="F673" s="45"/>
      <c r="G673" s="45"/>
      <c r="H673" s="45"/>
    </row>
    <row r="674" spans="1:8">
      <c r="A674" s="44"/>
      <c r="B674" s="44"/>
      <c r="C674" s="44"/>
      <c r="D674" s="44"/>
      <c r="E674" s="44"/>
      <c r="F674" s="44"/>
      <c r="G674" s="44"/>
      <c r="H674" s="44"/>
    </row>
    <row r="675" spans="1:8">
      <c r="A675" s="45"/>
      <c r="B675" s="45"/>
      <c r="C675" s="45"/>
      <c r="D675" s="45"/>
      <c r="E675" s="45"/>
      <c r="F675" s="45"/>
      <c r="G675" s="45"/>
      <c r="H675" s="45"/>
    </row>
    <row r="676" spans="1:8">
      <c r="A676" s="44"/>
      <c r="B676" s="44"/>
      <c r="C676" s="44"/>
      <c r="D676" s="44"/>
      <c r="E676" s="44"/>
      <c r="F676" s="44"/>
      <c r="G676" s="44"/>
      <c r="H676" s="44"/>
    </row>
    <row r="677" spans="1:8">
      <c r="A677" s="45"/>
      <c r="B677" s="45"/>
      <c r="C677" s="45"/>
      <c r="D677" s="45"/>
      <c r="E677" s="45"/>
      <c r="F677" s="45"/>
      <c r="G677" s="45"/>
      <c r="H677" s="45"/>
    </row>
    <row r="678" spans="1:8">
      <c r="A678" s="44"/>
      <c r="B678" s="44"/>
      <c r="C678" s="44"/>
      <c r="D678" s="44"/>
      <c r="E678" s="44"/>
      <c r="F678" s="44"/>
      <c r="G678" s="44"/>
      <c r="H678" s="44"/>
    </row>
    <row r="679" spans="1:8">
      <c r="A679" s="45"/>
      <c r="B679" s="45"/>
      <c r="C679" s="45"/>
      <c r="D679" s="45"/>
      <c r="E679" s="45"/>
      <c r="F679" s="45"/>
      <c r="G679" s="45"/>
      <c r="H679" s="45"/>
    </row>
    <row r="680" spans="1:8">
      <c r="A680" s="44"/>
      <c r="B680" s="44"/>
      <c r="C680" s="44"/>
      <c r="D680" s="44"/>
      <c r="E680" s="44"/>
      <c r="F680" s="44"/>
      <c r="G680" s="44"/>
      <c r="H680" s="44"/>
    </row>
    <row r="681" spans="1:8">
      <c r="A681" s="45"/>
      <c r="B681" s="45"/>
      <c r="C681" s="45"/>
      <c r="D681" s="45"/>
      <c r="E681" s="45"/>
      <c r="F681" s="45"/>
      <c r="G681" s="45"/>
      <c r="H681" s="45"/>
    </row>
    <row r="682" spans="1:8">
      <c r="A682" s="44"/>
      <c r="B682" s="44"/>
      <c r="C682" s="44"/>
      <c r="D682" s="44"/>
      <c r="E682" s="44"/>
      <c r="F682" s="44"/>
      <c r="G682" s="44"/>
      <c r="H682" s="44"/>
    </row>
    <row r="683" spans="1:8">
      <c r="A683" s="45"/>
      <c r="B683" s="45"/>
      <c r="C683" s="45"/>
      <c r="D683" s="45"/>
      <c r="E683" s="45"/>
      <c r="F683" s="45"/>
      <c r="G683" s="45"/>
      <c r="H683" s="45"/>
    </row>
    <row r="684" spans="1:8">
      <c r="A684" s="44"/>
      <c r="B684" s="44"/>
      <c r="C684" s="44"/>
      <c r="D684" s="44"/>
      <c r="E684" s="44"/>
      <c r="F684" s="44"/>
      <c r="G684" s="44"/>
      <c r="H684" s="44"/>
    </row>
    <row r="685" spans="1:8">
      <c r="A685" s="45"/>
      <c r="B685" s="45"/>
      <c r="C685" s="45"/>
      <c r="D685" s="45"/>
      <c r="E685" s="45"/>
      <c r="F685" s="45"/>
      <c r="G685" s="45"/>
      <c r="H685" s="45"/>
    </row>
    <row r="686" spans="1:8">
      <c r="A686" s="44"/>
      <c r="B686" s="44"/>
      <c r="C686" s="44"/>
      <c r="D686" s="44"/>
      <c r="E686" s="44"/>
      <c r="F686" s="44"/>
      <c r="G686" s="44"/>
      <c r="H686" s="44"/>
    </row>
    <row r="687" spans="1:8">
      <c r="A687" s="45"/>
      <c r="B687" s="45"/>
      <c r="C687" s="45"/>
      <c r="D687" s="45"/>
      <c r="E687" s="45"/>
      <c r="F687" s="45"/>
      <c r="G687" s="45"/>
      <c r="H687" s="45"/>
    </row>
    <row r="688" spans="1:8">
      <c r="A688" s="44"/>
      <c r="B688" s="44"/>
      <c r="C688" s="44"/>
      <c r="D688" s="44"/>
      <c r="E688" s="44"/>
      <c r="F688" s="44"/>
      <c r="G688" s="44"/>
      <c r="H688" s="44"/>
    </row>
    <row r="689" spans="1:8">
      <c r="A689" s="45"/>
      <c r="B689" s="45"/>
      <c r="C689" s="45"/>
      <c r="D689" s="45"/>
      <c r="E689" s="45"/>
      <c r="F689" s="45"/>
      <c r="G689" s="45"/>
      <c r="H689" s="45"/>
    </row>
    <row r="690" spans="1:8">
      <c r="A690" s="44"/>
      <c r="B690" s="44"/>
      <c r="C690" s="44"/>
      <c r="D690" s="44"/>
      <c r="E690" s="44"/>
      <c r="F690" s="44"/>
      <c r="G690" s="44"/>
      <c r="H690" s="44"/>
    </row>
    <row r="691" spans="1:8">
      <c r="A691" s="45"/>
      <c r="B691" s="45"/>
      <c r="C691" s="45"/>
      <c r="D691" s="45"/>
      <c r="E691" s="45"/>
      <c r="F691" s="45"/>
      <c r="G691" s="45"/>
      <c r="H691" s="45"/>
    </row>
    <row r="692" spans="1:8">
      <c r="A692" s="44"/>
      <c r="B692" s="44"/>
      <c r="C692" s="44"/>
      <c r="D692" s="44"/>
      <c r="E692" s="44"/>
      <c r="F692" s="44"/>
      <c r="G692" s="44"/>
      <c r="H692" s="44"/>
    </row>
    <row r="693" spans="1:8">
      <c r="A693" s="45"/>
      <c r="B693" s="45"/>
      <c r="C693" s="45"/>
      <c r="D693" s="45"/>
      <c r="E693" s="45"/>
      <c r="F693" s="45"/>
      <c r="G693" s="45"/>
      <c r="H693" s="45"/>
    </row>
    <row r="694" spans="1:8">
      <c r="A694" s="44"/>
      <c r="B694" s="44"/>
      <c r="C694" s="44"/>
      <c r="D694" s="44"/>
      <c r="E694" s="44"/>
      <c r="F694" s="44"/>
      <c r="G694" s="44"/>
      <c r="H694" s="44"/>
    </row>
    <row r="695" spans="1:8">
      <c r="A695" s="45"/>
      <c r="B695" s="45"/>
      <c r="C695" s="45"/>
      <c r="D695" s="45"/>
      <c r="E695" s="45"/>
      <c r="F695" s="45"/>
      <c r="G695" s="45"/>
      <c r="H695" s="45"/>
    </row>
    <row r="696" spans="1:8">
      <c r="A696" s="44"/>
      <c r="B696" s="44"/>
      <c r="C696" s="44"/>
      <c r="D696" s="44"/>
      <c r="E696" s="44"/>
      <c r="F696" s="44"/>
      <c r="G696" s="44"/>
      <c r="H696" s="44"/>
    </row>
    <row r="697" spans="1:8">
      <c r="A697" s="45"/>
      <c r="B697" s="45"/>
      <c r="C697" s="45"/>
      <c r="D697" s="45"/>
      <c r="E697" s="45"/>
      <c r="F697" s="45"/>
      <c r="G697" s="45"/>
      <c r="H697" s="45"/>
    </row>
    <row r="698" spans="1:8">
      <c r="A698" s="44"/>
      <c r="B698" s="44"/>
      <c r="C698" s="44"/>
      <c r="D698" s="44"/>
      <c r="E698" s="44"/>
      <c r="F698" s="44"/>
      <c r="G698" s="44"/>
      <c r="H698" s="44"/>
    </row>
    <row r="699" spans="1:8">
      <c r="A699" s="45"/>
      <c r="B699" s="45"/>
      <c r="C699" s="45"/>
      <c r="D699" s="45"/>
      <c r="E699" s="45"/>
      <c r="F699" s="45"/>
      <c r="G699" s="45"/>
      <c r="H699" s="45"/>
    </row>
    <row r="700" spans="1:8">
      <c r="A700" s="44"/>
      <c r="B700" s="44"/>
      <c r="C700" s="44"/>
      <c r="D700" s="44"/>
      <c r="E700" s="44"/>
      <c r="F700" s="44"/>
      <c r="G700" s="44"/>
      <c r="H700" s="44"/>
    </row>
    <row r="701" spans="1:8">
      <c r="A701" s="45"/>
      <c r="B701" s="45"/>
      <c r="C701" s="45"/>
      <c r="D701" s="45"/>
      <c r="E701" s="45"/>
      <c r="F701" s="45"/>
      <c r="G701" s="45"/>
      <c r="H701" s="45"/>
    </row>
    <row r="702" spans="1:8">
      <c r="A702" s="44"/>
      <c r="B702" s="44"/>
      <c r="C702" s="44"/>
      <c r="D702" s="44"/>
      <c r="E702" s="44"/>
      <c r="F702" s="44"/>
      <c r="G702" s="44"/>
      <c r="H702" s="44"/>
    </row>
    <row r="703" spans="1:8">
      <c r="A703" s="45"/>
      <c r="B703" s="45"/>
      <c r="C703" s="45"/>
      <c r="D703" s="45"/>
      <c r="E703" s="45"/>
      <c r="F703" s="45"/>
      <c r="G703" s="45"/>
      <c r="H703" s="45"/>
    </row>
    <row r="704" spans="1:8">
      <c r="A704" s="44"/>
      <c r="B704" s="44"/>
      <c r="C704" s="44"/>
      <c r="D704" s="44"/>
      <c r="E704" s="44"/>
      <c r="F704" s="44"/>
      <c r="G704" s="44"/>
      <c r="H704" s="44"/>
    </row>
    <row r="705" spans="1:8">
      <c r="A705" s="45"/>
      <c r="B705" s="45"/>
      <c r="C705" s="45"/>
      <c r="D705" s="45"/>
      <c r="E705" s="45"/>
      <c r="F705" s="45"/>
      <c r="G705" s="45"/>
      <c r="H705" s="45"/>
    </row>
    <row r="706" spans="1:8">
      <c r="A706" s="44"/>
      <c r="B706" s="44"/>
      <c r="C706" s="44"/>
      <c r="D706" s="44"/>
      <c r="E706" s="44"/>
      <c r="F706" s="44"/>
      <c r="G706" s="44"/>
      <c r="H706" s="44"/>
    </row>
    <row r="707" spans="1:8">
      <c r="A707" s="45"/>
      <c r="B707" s="45"/>
      <c r="C707" s="45"/>
      <c r="D707" s="45"/>
      <c r="E707" s="45"/>
      <c r="F707" s="45"/>
      <c r="G707" s="45"/>
      <c r="H707" s="45"/>
    </row>
    <row r="708" spans="1:8">
      <c r="A708" s="44"/>
      <c r="B708" s="44"/>
      <c r="C708" s="44"/>
      <c r="D708" s="44"/>
      <c r="E708" s="44"/>
      <c r="F708" s="44"/>
      <c r="G708" s="44"/>
      <c r="H708" s="44"/>
    </row>
    <row r="709" spans="1:8">
      <c r="A709" s="45"/>
      <c r="B709" s="45"/>
      <c r="C709" s="45"/>
      <c r="D709" s="45"/>
      <c r="E709" s="45"/>
      <c r="F709" s="45"/>
      <c r="G709" s="45"/>
      <c r="H709" s="45"/>
    </row>
    <row r="710" spans="1:8">
      <c r="A710" s="44"/>
      <c r="B710" s="44"/>
      <c r="C710" s="44"/>
      <c r="D710" s="44"/>
      <c r="E710" s="44"/>
      <c r="F710" s="44"/>
      <c r="G710" s="44"/>
      <c r="H710" s="44"/>
    </row>
    <row r="711" spans="1:8">
      <c r="A711" s="45"/>
      <c r="B711" s="45"/>
      <c r="C711" s="45"/>
      <c r="D711" s="45"/>
      <c r="E711" s="45"/>
      <c r="F711" s="45"/>
      <c r="G711" s="45"/>
      <c r="H711" s="45"/>
    </row>
    <row r="712" spans="1:8">
      <c r="A712" s="44"/>
      <c r="B712" s="44"/>
      <c r="C712" s="44"/>
      <c r="D712" s="44"/>
      <c r="E712" s="44"/>
      <c r="F712" s="44"/>
      <c r="G712" s="44"/>
      <c r="H712" s="44"/>
    </row>
    <row r="713" spans="1:8">
      <c r="A713" s="45"/>
      <c r="B713" s="45"/>
      <c r="C713" s="45"/>
      <c r="D713" s="45"/>
      <c r="E713" s="45"/>
      <c r="F713" s="45"/>
      <c r="G713" s="45"/>
      <c r="H713" s="45"/>
    </row>
    <row r="714" spans="1:8">
      <c r="A714" s="44"/>
      <c r="B714" s="44"/>
      <c r="C714" s="44"/>
      <c r="D714" s="44"/>
      <c r="E714" s="44"/>
      <c r="F714" s="44"/>
      <c r="G714" s="44"/>
      <c r="H714" s="44"/>
    </row>
    <row r="715" spans="1:8">
      <c r="A715" s="45"/>
      <c r="B715" s="45"/>
      <c r="C715" s="45"/>
      <c r="D715" s="45"/>
      <c r="E715" s="45"/>
      <c r="F715" s="45"/>
      <c r="G715" s="45"/>
      <c r="H715" s="45"/>
    </row>
    <row r="716" spans="1:8">
      <c r="A716" s="44"/>
      <c r="B716" s="44"/>
      <c r="C716" s="44"/>
      <c r="D716" s="44"/>
      <c r="E716" s="44"/>
      <c r="F716" s="44"/>
      <c r="G716" s="44"/>
      <c r="H716" s="44"/>
    </row>
    <row r="717" spans="1:8">
      <c r="A717" s="45"/>
      <c r="B717" s="45"/>
      <c r="C717" s="45"/>
      <c r="D717" s="45"/>
      <c r="E717" s="45"/>
      <c r="F717" s="45"/>
      <c r="G717" s="45"/>
      <c r="H717" s="45"/>
    </row>
    <row r="718" spans="1:8">
      <c r="A718" s="44"/>
      <c r="B718" s="44"/>
      <c r="C718" s="44"/>
      <c r="D718" s="44"/>
      <c r="E718" s="44"/>
      <c r="F718" s="44"/>
      <c r="G718" s="44"/>
      <c r="H718" s="44"/>
    </row>
    <row r="719" spans="1:8">
      <c r="A719" s="45"/>
      <c r="B719" s="45"/>
      <c r="C719" s="45"/>
      <c r="D719" s="45"/>
      <c r="E719" s="45"/>
      <c r="F719" s="45"/>
      <c r="G719" s="45"/>
      <c r="H719" s="45"/>
    </row>
    <row r="720" spans="1:8">
      <c r="A720" s="44"/>
      <c r="B720" s="44"/>
      <c r="C720" s="44"/>
      <c r="D720" s="44"/>
      <c r="E720" s="44"/>
      <c r="F720" s="44"/>
      <c r="G720" s="44"/>
      <c r="H720" s="44"/>
    </row>
    <row r="721" spans="1:8">
      <c r="A721" s="45"/>
      <c r="B721" s="45"/>
      <c r="C721" s="45"/>
      <c r="D721" s="45"/>
      <c r="E721" s="45"/>
      <c r="F721" s="45"/>
      <c r="G721" s="45"/>
      <c r="H721" s="45"/>
    </row>
    <row r="722" spans="1:8">
      <c r="A722" s="44"/>
      <c r="B722" s="44"/>
      <c r="C722" s="44"/>
      <c r="D722" s="44"/>
      <c r="E722" s="44"/>
      <c r="F722" s="44"/>
      <c r="G722" s="44"/>
      <c r="H722" s="44"/>
    </row>
    <row r="723" spans="1:8">
      <c r="A723" s="45"/>
      <c r="B723" s="45"/>
      <c r="C723" s="45"/>
      <c r="D723" s="45"/>
      <c r="E723" s="45"/>
      <c r="F723" s="45"/>
      <c r="G723" s="45"/>
      <c r="H723" s="45"/>
    </row>
    <row r="724" spans="1:8">
      <c r="A724" s="44"/>
      <c r="B724" s="44"/>
      <c r="C724" s="44"/>
      <c r="D724" s="44"/>
      <c r="E724" s="44"/>
      <c r="F724" s="44"/>
      <c r="G724" s="44"/>
      <c r="H724" s="44"/>
    </row>
    <row r="725" spans="1:8">
      <c r="A725" s="45"/>
      <c r="B725" s="45"/>
      <c r="C725" s="45"/>
      <c r="D725" s="45"/>
      <c r="E725" s="45"/>
      <c r="F725" s="45"/>
      <c r="G725" s="45"/>
      <c r="H725" s="45"/>
    </row>
    <row r="726" spans="1:8">
      <c r="A726" s="44"/>
      <c r="B726" s="44"/>
      <c r="C726" s="44"/>
      <c r="D726" s="44"/>
      <c r="E726" s="44"/>
      <c r="F726" s="44"/>
      <c r="G726" s="44"/>
      <c r="H726" s="44"/>
    </row>
    <row r="727" spans="1:8">
      <c r="A727" s="45"/>
      <c r="B727" s="45"/>
      <c r="C727" s="45"/>
      <c r="D727" s="45"/>
      <c r="E727" s="45"/>
      <c r="F727" s="45"/>
      <c r="G727" s="45"/>
      <c r="H727" s="45"/>
    </row>
    <row r="728" spans="1:8">
      <c r="A728" s="44"/>
      <c r="B728" s="44"/>
      <c r="C728" s="44"/>
      <c r="D728" s="44"/>
      <c r="E728" s="44"/>
      <c r="F728" s="44"/>
      <c r="G728" s="44"/>
      <c r="H728" s="44"/>
    </row>
    <row r="729" spans="1:8">
      <c r="A729" s="45"/>
      <c r="B729" s="45"/>
      <c r="C729" s="45"/>
      <c r="D729" s="45"/>
      <c r="E729" s="45"/>
      <c r="F729" s="45"/>
      <c r="G729" s="45"/>
      <c r="H729" s="45"/>
    </row>
    <row r="730" spans="1:8">
      <c r="A730" s="44"/>
      <c r="B730" s="44"/>
      <c r="C730" s="44"/>
      <c r="D730" s="44"/>
      <c r="E730" s="44"/>
      <c r="F730" s="44"/>
      <c r="G730" s="44"/>
      <c r="H730" s="44"/>
    </row>
    <row r="731" spans="1:8">
      <c r="A731" s="45"/>
      <c r="B731" s="45"/>
      <c r="C731" s="45"/>
      <c r="D731" s="45"/>
      <c r="E731" s="45"/>
      <c r="F731" s="45"/>
      <c r="G731" s="45"/>
      <c r="H731" s="45"/>
    </row>
    <row r="732" spans="1:8">
      <c r="A732" s="44"/>
      <c r="B732" s="44"/>
      <c r="C732" s="44"/>
      <c r="D732" s="44"/>
      <c r="E732" s="44"/>
      <c r="F732" s="44"/>
      <c r="G732" s="44"/>
      <c r="H732" s="44"/>
    </row>
    <row r="733" spans="1:8">
      <c r="A733" s="45"/>
      <c r="B733" s="45"/>
      <c r="C733" s="45"/>
      <c r="D733" s="45"/>
      <c r="E733" s="45"/>
      <c r="F733" s="45"/>
      <c r="G733" s="45"/>
      <c r="H733" s="45"/>
    </row>
    <row r="734" spans="1:8">
      <c r="A734" s="44"/>
      <c r="B734" s="44"/>
      <c r="C734" s="44"/>
      <c r="D734" s="44"/>
      <c r="E734" s="44"/>
      <c r="F734" s="44"/>
      <c r="G734" s="44"/>
      <c r="H734" s="44"/>
    </row>
    <row r="735" spans="1:8">
      <c r="A735" s="45"/>
      <c r="B735" s="45"/>
      <c r="C735" s="45"/>
      <c r="D735" s="45"/>
      <c r="E735" s="45"/>
      <c r="F735" s="45"/>
      <c r="G735" s="45"/>
      <c r="H735" s="45"/>
    </row>
    <row r="736" spans="1:8">
      <c r="A736" s="44"/>
      <c r="B736" s="44"/>
      <c r="C736" s="44"/>
      <c r="D736" s="44"/>
      <c r="E736" s="44"/>
      <c r="F736" s="44"/>
      <c r="G736" s="44"/>
      <c r="H736" s="44"/>
    </row>
    <row r="737" spans="1:8">
      <c r="A737" s="45"/>
      <c r="B737" s="45"/>
      <c r="C737" s="45"/>
      <c r="D737" s="45"/>
      <c r="E737" s="45"/>
      <c r="F737" s="45"/>
      <c r="G737" s="45"/>
      <c r="H737" s="45"/>
    </row>
    <row r="738" spans="1:8">
      <c r="A738" s="44"/>
      <c r="B738" s="44"/>
      <c r="C738" s="44"/>
      <c r="D738" s="44"/>
      <c r="E738" s="44"/>
      <c r="F738" s="44"/>
      <c r="G738" s="44"/>
      <c r="H738" s="44"/>
    </row>
    <row r="739" spans="1:8">
      <c r="A739" s="45"/>
      <c r="B739" s="45"/>
      <c r="C739" s="45"/>
      <c r="D739" s="45"/>
      <c r="E739" s="45"/>
      <c r="F739" s="45"/>
      <c r="G739" s="45"/>
      <c r="H739" s="45"/>
    </row>
    <row r="740" spans="1:8">
      <c r="A740" s="44"/>
      <c r="B740" s="44"/>
      <c r="C740" s="44"/>
      <c r="D740" s="44"/>
      <c r="E740" s="44"/>
      <c r="F740" s="44"/>
      <c r="G740" s="44"/>
      <c r="H740" s="44"/>
    </row>
    <row r="741" spans="1:8">
      <c r="A741" s="45"/>
      <c r="B741" s="45"/>
      <c r="C741" s="45"/>
      <c r="D741" s="45"/>
      <c r="E741" s="45"/>
      <c r="F741" s="45"/>
      <c r="G741" s="45"/>
      <c r="H741" s="45"/>
    </row>
    <row r="742" spans="1:8">
      <c r="A742" s="44"/>
      <c r="B742" s="44"/>
      <c r="C742" s="44"/>
      <c r="D742" s="44"/>
      <c r="E742" s="44"/>
      <c r="F742" s="44"/>
      <c r="G742" s="44"/>
      <c r="H742" s="44"/>
    </row>
    <row r="743" spans="1:8">
      <c r="A743" s="45"/>
      <c r="B743" s="45"/>
      <c r="C743" s="45"/>
      <c r="D743" s="45"/>
      <c r="E743" s="45"/>
      <c r="F743" s="45"/>
      <c r="G743" s="45"/>
      <c r="H743" s="45"/>
    </row>
    <row r="744" spans="1:8">
      <c r="A744" s="44"/>
      <c r="B744" s="44"/>
      <c r="C744" s="44"/>
      <c r="D744" s="44"/>
      <c r="E744" s="44"/>
      <c r="F744" s="44"/>
      <c r="G744" s="44"/>
      <c r="H744" s="44"/>
    </row>
    <row r="745" spans="1:8">
      <c r="A745" s="45"/>
      <c r="B745" s="45"/>
      <c r="C745" s="45"/>
      <c r="D745" s="45"/>
      <c r="E745" s="45"/>
      <c r="F745" s="45"/>
      <c r="G745" s="45"/>
      <c r="H745" s="45"/>
    </row>
    <row r="746" spans="1:8">
      <c r="A746" s="44"/>
      <c r="B746" s="44"/>
      <c r="C746" s="44"/>
      <c r="D746" s="44"/>
      <c r="E746" s="44"/>
      <c r="F746" s="44"/>
      <c r="G746" s="44"/>
      <c r="H746" s="44"/>
    </row>
    <row r="747" spans="1:8">
      <c r="A747" s="45"/>
      <c r="B747" s="45"/>
      <c r="C747" s="45"/>
      <c r="D747" s="45"/>
      <c r="E747" s="45"/>
      <c r="F747" s="45"/>
      <c r="G747" s="45"/>
      <c r="H747" s="45"/>
    </row>
    <row r="748" spans="1:8">
      <c r="A748" s="44"/>
      <c r="B748" s="44"/>
      <c r="C748" s="44"/>
      <c r="D748" s="44"/>
      <c r="E748" s="44"/>
      <c r="F748" s="44"/>
      <c r="G748" s="44"/>
      <c r="H748" s="44"/>
    </row>
    <row r="749" spans="1:8">
      <c r="A749" s="45"/>
      <c r="B749" s="45"/>
      <c r="C749" s="45"/>
      <c r="D749" s="45"/>
      <c r="E749" s="45"/>
      <c r="F749" s="45"/>
      <c r="G749" s="45"/>
      <c r="H749" s="45"/>
    </row>
    <row r="750" spans="1:8">
      <c r="A750" s="44"/>
      <c r="B750" s="44"/>
      <c r="C750" s="44"/>
      <c r="D750" s="44"/>
      <c r="E750" s="44"/>
      <c r="F750" s="44"/>
      <c r="G750" s="44"/>
      <c r="H750" s="44"/>
    </row>
    <row r="751" spans="1:8">
      <c r="A751" s="45"/>
      <c r="B751" s="45"/>
      <c r="C751" s="45"/>
      <c r="D751" s="45"/>
      <c r="E751" s="45"/>
      <c r="F751" s="45"/>
      <c r="G751" s="45"/>
      <c r="H751" s="45"/>
    </row>
    <row r="752" spans="1:8">
      <c r="A752" s="44"/>
      <c r="B752" s="44"/>
      <c r="C752" s="44"/>
      <c r="D752" s="44"/>
      <c r="E752" s="44"/>
      <c r="F752" s="44"/>
      <c r="G752" s="44"/>
      <c r="H752" s="44"/>
    </row>
    <row r="753" spans="1:8">
      <c r="A753" s="45"/>
      <c r="B753" s="45"/>
      <c r="C753" s="45"/>
      <c r="D753" s="45"/>
      <c r="E753" s="45"/>
      <c r="F753" s="45"/>
      <c r="G753" s="45"/>
      <c r="H753" s="45"/>
    </row>
    <row r="754" spans="1:8">
      <c r="A754" s="44"/>
      <c r="B754" s="44"/>
      <c r="C754" s="44"/>
      <c r="D754" s="44"/>
      <c r="E754" s="44"/>
      <c r="F754" s="44"/>
      <c r="G754" s="44"/>
      <c r="H754" s="44"/>
    </row>
    <row r="755" spans="1:8">
      <c r="A755" s="45"/>
      <c r="B755" s="45"/>
      <c r="C755" s="45"/>
      <c r="D755" s="45"/>
      <c r="E755" s="45"/>
      <c r="F755" s="45"/>
      <c r="G755" s="45"/>
      <c r="H755" s="45"/>
    </row>
    <row r="756" spans="1:8">
      <c r="A756" s="44"/>
      <c r="B756" s="44"/>
      <c r="C756" s="44"/>
      <c r="D756" s="44"/>
      <c r="E756" s="44"/>
      <c r="F756" s="44"/>
      <c r="G756" s="44"/>
      <c r="H756" s="44"/>
    </row>
    <row r="757" spans="1:8">
      <c r="A757" s="45"/>
      <c r="B757" s="45"/>
      <c r="C757" s="45"/>
      <c r="D757" s="45"/>
      <c r="E757" s="45"/>
      <c r="F757" s="45"/>
      <c r="G757" s="45"/>
      <c r="H757" s="45"/>
    </row>
    <row r="758" spans="1:8">
      <c r="A758" s="44"/>
      <c r="B758" s="44"/>
      <c r="C758" s="44"/>
      <c r="D758" s="44"/>
      <c r="E758" s="44"/>
      <c r="F758" s="44"/>
      <c r="G758" s="44"/>
      <c r="H758" s="44"/>
    </row>
    <row r="759" spans="1:8">
      <c r="A759" s="45"/>
      <c r="B759" s="45"/>
      <c r="C759" s="45"/>
      <c r="D759" s="45"/>
      <c r="E759" s="45"/>
      <c r="F759" s="45"/>
      <c r="G759" s="45"/>
      <c r="H759" s="45"/>
    </row>
    <row r="760" spans="1:8">
      <c r="A760" s="44"/>
      <c r="B760" s="44"/>
      <c r="C760" s="44"/>
      <c r="D760" s="44"/>
      <c r="E760" s="44"/>
      <c r="F760" s="44"/>
      <c r="G760" s="44"/>
      <c r="H760" s="44"/>
    </row>
    <row r="761" spans="1:8">
      <c r="A761" s="45"/>
      <c r="B761" s="45"/>
      <c r="C761" s="45"/>
      <c r="D761" s="45"/>
      <c r="E761" s="45"/>
      <c r="F761" s="45"/>
      <c r="G761" s="45"/>
      <c r="H761" s="45"/>
    </row>
    <row r="762" spans="1:8">
      <c r="A762" s="44"/>
      <c r="B762" s="44"/>
      <c r="C762" s="44"/>
      <c r="D762" s="44"/>
      <c r="E762" s="44"/>
      <c r="F762" s="44"/>
      <c r="G762" s="44"/>
      <c r="H762" s="44"/>
    </row>
    <row r="763" spans="1:8">
      <c r="A763" s="45"/>
      <c r="B763" s="45"/>
      <c r="C763" s="45"/>
      <c r="D763" s="45"/>
      <c r="E763" s="45"/>
      <c r="F763" s="45"/>
      <c r="G763" s="45"/>
      <c r="H763" s="45"/>
    </row>
    <row r="764" spans="1:8">
      <c r="A764" s="44"/>
      <c r="B764" s="44"/>
      <c r="C764" s="44"/>
      <c r="D764" s="44"/>
      <c r="E764" s="44"/>
      <c r="F764" s="44"/>
      <c r="G764" s="44"/>
      <c r="H764" s="44"/>
    </row>
    <row r="765" spans="1:8">
      <c r="A765" s="45"/>
      <c r="B765" s="45"/>
      <c r="C765" s="45"/>
      <c r="D765" s="45"/>
      <c r="E765" s="45"/>
      <c r="F765" s="45"/>
      <c r="G765" s="45"/>
      <c r="H765" s="45"/>
    </row>
    <row r="766" spans="1:8">
      <c r="A766" s="44"/>
      <c r="B766" s="44"/>
      <c r="C766" s="44"/>
      <c r="D766" s="44"/>
      <c r="E766" s="44"/>
      <c r="F766" s="44"/>
      <c r="G766" s="44"/>
      <c r="H766" s="44"/>
    </row>
    <row r="767" spans="1:8">
      <c r="A767" s="45"/>
      <c r="B767" s="45"/>
      <c r="C767" s="45"/>
      <c r="D767" s="45"/>
      <c r="E767" s="45"/>
      <c r="F767" s="45"/>
      <c r="G767" s="45"/>
      <c r="H767" s="45"/>
    </row>
    <row r="768" spans="1:8">
      <c r="A768" s="44"/>
      <c r="B768" s="44"/>
      <c r="C768" s="44"/>
      <c r="D768" s="44"/>
      <c r="E768" s="44"/>
      <c r="F768" s="44"/>
      <c r="G768" s="44"/>
      <c r="H768" s="44"/>
    </row>
    <row r="769" spans="1:8">
      <c r="A769" s="45"/>
      <c r="B769" s="45"/>
      <c r="C769" s="45"/>
      <c r="D769" s="45"/>
      <c r="E769" s="45"/>
      <c r="F769" s="45"/>
      <c r="G769" s="45"/>
      <c r="H769" s="45"/>
    </row>
    <row r="770" spans="1:8">
      <c r="A770" s="44"/>
      <c r="B770" s="44"/>
      <c r="C770" s="44"/>
      <c r="D770" s="44"/>
      <c r="E770" s="44"/>
      <c r="F770" s="44"/>
      <c r="G770" s="44"/>
      <c r="H770" s="44"/>
    </row>
    <row r="771" spans="1:8">
      <c r="A771" s="45"/>
      <c r="B771" s="45"/>
      <c r="C771" s="45"/>
      <c r="D771" s="45"/>
      <c r="E771" s="45"/>
      <c r="F771" s="45"/>
      <c r="G771" s="45"/>
      <c r="H771" s="45"/>
    </row>
    <row r="772" spans="1:8">
      <c r="A772" s="44"/>
      <c r="B772" s="44"/>
      <c r="C772" s="44"/>
      <c r="D772" s="44"/>
      <c r="E772" s="44"/>
      <c r="F772" s="44"/>
      <c r="G772" s="44"/>
      <c r="H772" s="44"/>
    </row>
    <row r="773" spans="1:8">
      <c r="A773" s="45"/>
      <c r="B773" s="45"/>
      <c r="C773" s="45"/>
      <c r="D773" s="45"/>
      <c r="E773" s="45"/>
      <c r="F773" s="45"/>
      <c r="G773" s="45"/>
      <c r="H773" s="45"/>
    </row>
    <row r="774" spans="1:8">
      <c r="A774" s="44"/>
      <c r="B774" s="44"/>
      <c r="C774" s="44"/>
      <c r="D774" s="44"/>
      <c r="E774" s="44"/>
      <c r="F774" s="44"/>
      <c r="G774" s="44"/>
      <c r="H774" s="44"/>
    </row>
    <row r="775" spans="1:8">
      <c r="A775" s="45"/>
      <c r="B775" s="45"/>
      <c r="C775" s="45"/>
      <c r="D775" s="45"/>
      <c r="E775" s="45"/>
      <c r="F775" s="45"/>
      <c r="G775" s="45"/>
      <c r="H775" s="45"/>
    </row>
    <row r="776" spans="1:8">
      <c r="A776" s="44"/>
      <c r="B776" s="44"/>
      <c r="C776" s="44"/>
      <c r="D776" s="44"/>
      <c r="E776" s="44"/>
      <c r="F776" s="44"/>
      <c r="G776" s="44"/>
      <c r="H776" s="44"/>
    </row>
    <row r="777" spans="1:8">
      <c r="A777" s="45"/>
      <c r="B777" s="45"/>
      <c r="C777" s="45"/>
      <c r="D777" s="45"/>
      <c r="E777" s="45"/>
      <c r="F777" s="45"/>
      <c r="G777" s="45"/>
      <c r="H777" s="45"/>
    </row>
    <row r="778" spans="1:8">
      <c r="A778" s="44"/>
      <c r="B778" s="44"/>
      <c r="C778" s="44"/>
      <c r="D778" s="44"/>
      <c r="E778" s="44"/>
      <c r="F778" s="44"/>
      <c r="G778" s="44"/>
      <c r="H778" s="44"/>
    </row>
    <row r="779" spans="1:8">
      <c r="A779" s="45"/>
      <c r="B779" s="45"/>
      <c r="C779" s="45"/>
      <c r="D779" s="45"/>
      <c r="E779" s="45"/>
      <c r="F779" s="45"/>
      <c r="G779" s="45"/>
      <c r="H779" s="45"/>
    </row>
    <row r="780" spans="1:8">
      <c r="A780" s="44"/>
      <c r="B780" s="44"/>
      <c r="C780" s="44"/>
      <c r="D780" s="44"/>
      <c r="E780" s="44"/>
      <c r="F780" s="44"/>
      <c r="G780" s="44"/>
      <c r="H780" s="44"/>
    </row>
    <row r="781" spans="1:8">
      <c r="A781" s="45"/>
      <c r="B781" s="45"/>
      <c r="C781" s="45"/>
      <c r="D781" s="45"/>
      <c r="E781" s="45"/>
      <c r="F781" s="45"/>
      <c r="G781" s="45"/>
      <c r="H781" s="45"/>
    </row>
    <row r="782" spans="1:8">
      <c r="A782" s="44"/>
      <c r="B782" s="44"/>
      <c r="C782" s="44"/>
      <c r="D782" s="44"/>
      <c r="E782" s="44"/>
      <c r="F782" s="44"/>
      <c r="G782" s="44"/>
      <c r="H782" s="44"/>
    </row>
    <row r="783" spans="1:8">
      <c r="A783" s="45"/>
      <c r="B783" s="45"/>
      <c r="C783" s="45"/>
      <c r="D783" s="45"/>
      <c r="E783" s="45"/>
      <c r="F783" s="45"/>
      <c r="G783" s="45"/>
      <c r="H783" s="45"/>
    </row>
    <row r="784" spans="1:8">
      <c r="A784" s="44"/>
      <c r="B784" s="44"/>
      <c r="C784" s="44"/>
      <c r="D784" s="44"/>
      <c r="E784" s="44"/>
      <c r="F784" s="44"/>
      <c r="G784" s="44"/>
      <c r="H784" s="44"/>
    </row>
    <row r="785" spans="1:8">
      <c r="A785" s="45"/>
      <c r="B785" s="45"/>
      <c r="C785" s="45"/>
      <c r="D785" s="45"/>
      <c r="E785" s="45"/>
      <c r="F785" s="45"/>
      <c r="G785" s="45"/>
      <c r="H785" s="45"/>
    </row>
    <row r="786" spans="1:8">
      <c r="A786" s="44"/>
      <c r="B786" s="44"/>
      <c r="C786" s="44"/>
      <c r="D786" s="44"/>
      <c r="E786" s="44"/>
      <c r="F786" s="44"/>
      <c r="G786" s="44"/>
      <c r="H786" s="44"/>
    </row>
    <row r="787" spans="1:8">
      <c r="A787" s="45"/>
      <c r="B787" s="45"/>
      <c r="C787" s="45"/>
      <c r="D787" s="45"/>
      <c r="E787" s="45"/>
      <c r="F787" s="45"/>
      <c r="G787" s="45"/>
      <c r="H787" s="45"/>
    </row>
    <row r="788" spans="1:8">
      <c r="A788" s="44"/>
      <c r="B788" s="44"/>
      <c r="C788" s="44"/>
      <c r="D788" s="44"/>
      <c r="E788" s="44"/>
      <c r="F788" s="44"/>
      <c r="G788" s="44"/>
      <c r="H788" s="44"/>
    </row>
    <row r="789" spans="1:8">
      <c r="A789" s="45"/>
      <c r="B789" s="45"/>
      <c r="C789" s="45"/>
      <c r="D789" s="45"/>
      <c r="E789" s="45"/>
      <c r="F789" s="45"/>
      <c r="G789" s="45"/>
      <c r="H789" s="45"/>
    </row>
    <row r="790" spans="1:8">
      <c r="A790" s="44"/>
      <c r="B790" s="44"/>
      <c r="C790" s="44"/>
      <c r="D790" s="44"/>
      <c r="E790" s="44"/>
      <c r="F790" s="44"/>
      <c r="G790" s="44"/>
      <c r="H790" s="44"/>
    </row>
    <row r="791" spans="1:8">
      <c r="A791" s="45"/>
      <c r="B791" s="45"/>
      <c r="C791" s="45"/>
      <c r="D791" s="45"/>
      <c r="E791" s="45"/>
      <c r="F791" s="45"/>
      <c r="G791" s="45"/>
      <c r="H791" s="45"/>
    </row>
    <row r="792" spans="1:8">
      <c r="A792" s="44"/>
      <c r="B792" s="44"/>
      <c r="C792" s="44"/>
      <c r="D792" s="44"/>
      <c r="E792" s="44"/>
      <c r="F792" s="44"/>
      <c r="G792" s="44"/>
      <c r="H792" s="44"/>
    </row>
    <row r="793" spans="1:8">
      <c r="A793" s="45"/>
      <c r="B793" s="45"/>
      <c r="C793" s="45"/>
      <c r="D793" s="45"/>
      <c r="E793" s="45"/>
      <c r="F793" s="45"/>
      <c r="G793" s="45"/>
      <c r="H793" s="45"/>
    </row>
    <row r="794" spans="1:8">
      <c r="A794" s="44"/>
      <c r="B794" s="44"/>
      <c r="C794" s="44"/>
      <c r="D794" s="44"/>
      <c r="E794" s="44"/>
      <c r="F794" s="44"/>
      <c r="G794" s="44"/>
      <c r="H794" s="44"/>
    </row>
    <row r="795" spans="1:8">
      <c r="A795" s="45"/>
      <c r="B795" s="45"/>
      <c r="C795" s="45"/>
      <c r="D795" s="45"/>
      <c r="E795" s="45"/>
      <c r="F795" s="45"/>
      <c r="G795" s="45"/>
      <c r="H795" s="45"/>
    </row>
    <row r="796" spans="1:8">
      <c r="A796" s="44"/>
      <c r="B796" s="44"/>
      <c r="C796" s="44"/>
      <c r="D796" s="44"/>
      <c r="E796" s="44"/>
      <c r="F796" s="44"/>
      <c r="G796" s="44"/>
      <c r="H796" s="44"/>
    </row>
    <row r="797" spans="1:8">
      <c r="A797" s="45"/>
      <c r="B797" s="45"/>
      <c r="C797" s="45"/>
      <c r="D797" s="45"/>
      <c r="E797" s="45"/>
      <c r="F797" s="45"/>
      <c r="G797" s="45"/>
      <c r="H797" s="45"/>
    </row>
    <row r="798" spans="1:8">
      <c r="A798" s="44"/>
      <c r="B798" s="44"/>
      <c r="C798" s="44"/>
      <c r="D798" s="44"/>
      <c r="E798" s="44"/>
      <c r="F798" s="44"/>
      <c r="G798" s="44"/>
      <c r="H798" s="44"/>
    </row>
    <row r="799" spans="1:8">
      <c r="A799" s="45"/>
      <c r="B799" s="45"/>
      <c r="C799" s="45"/>
      <c r="D799" s="45"/>
      <c r="E799" s="45"/>
      <c r="F799" s="45"/>
      <c r="G799" s="45"/>
      <c r="H799" s="45"/>
    </row>
    <row r="800" spans="1:8">
      <c r="A800" s="44"/>
      <c r="B800" s="44"/>
      <c r="C800" s="44"/>
      <c r="D800" s="44"/>
      <c r="E800" s="44"/>
      <c r="F800" s="44"/>
      <c r="G800" s="44"/>
      <c r="H800" s="44"/>
    </row>
    <row r="801" spans="1:8">
      <c r="A801" s="45"/>
      <c r="B801" s="45"/>
      <c r="C801" s="45"/>
      <c r="D801" s="45"/>
      <c r="E801" s="45"/>
      <c r="F801" s="45"/>
      <c r="G801" s="45"/>
      <c r="H801" s="45"/>
    </row>
    <row r="802" spans="1:8">
      <c r="A802" s="44"/>
      <c r="B802" s="44"/>
      <c r="C802" s="44"/>
      <c r="D802" s="44"/>
      <c r="E802" s="44"/>
      <c r="F802" s="44"/>
      <c r="G802" s="44"/>
      <c r="H802" s="44"/>
    </row>
    <row r="803" spans="1:8">
      <c r="A803" s="45"/>
      <c r="B803" s="45"/>
      <c r="C803" s="45"/>
      <c r="D803" s="45"/>
      <c r="E803" s="45"/>
      <c r="F803" s="45"/>
      <c r="G803" s="45"/>
      <c r="H803" s="45"/>
    </row>
    <row r="804" spans="1:8">
      <c r="A804" s="44"/>
      <c r="B804" s="44"/>
      <c r="C804" s="44"/>
      <c r="D804" s="44"/>
      <c r="E804" s="44"/>
      <c r="F804" s="44"/>
      <c r="G804" s="44"/>
      <c r="H804" s="44"/>
    </row>
    <row r="805" spans="1:8">
      <c r="A805" s="45"/>
      <c r="B805" s="45"/>
      <c r="C805" s="45"/>
      <c r="D805" s="45"/>
      <c r="E805" s="45"/>
      <c r="F805" s="45"/>
      <c r="G805" s="45"/>
      <c r="H805" s="45"/>
    </row>
    <row r="806" spans="1:8">
      <c r="A806" s="44"/>
      <c r="B806" s="44"/>
      <c r="C806" s="44"/>
      <c r="D806" s="44"/>
      <c r="E806" s="44"/>
      <c r="F806" s="44"/>
      <c r="G806" s="44"/>
      <c r="H806" s="44"/>
    </row>
    <row r="807" spans="1:8">
      <c r="A807" s="45"/>
      <c r="B807" s="45"/>
      <c r="C807" s="45"/>
      <c r="D807" s="45"/>
      <c r="E807" s="45"/>
      <c r="F807" s="45"/>
      <c r="G807" s="45"/>
      <c r="H807" s="45"/>
    </row>
    <row r="808" spans="1:8">
      <c r="A808" s="44"/>
      <c r="B808" s="44"/>
      <c r="C808" s="44"/>
      <c r="D808" s="44"/>
      <c r="E808" s="44"/>
      <c r="F808" s="44"/>
      <c r="G808" s="44"/>
      <c r="H808" s="44"/>
    </row>
    <row r="809" spans="1:8">
      <c r="A809" s="45"/>
      <c r="B809" s="45"/>
      <c r="C809" s="45"/>
      <c r="D809" s="45"/>
      <c r="E809" s="45"/>
      <c r="F809" s="45"/>
      <c r="G809" s="45"/>
      <c r="H809" s="45"/>
    </row>
    <row r="810" spans="1:8">
      <c r="A810" s="44"/>
      <c r="B810" s="44"/>
      <c r="C810" s="44"/>
      <c r="D810" s="44"/>
      <c r="E810" s="44"/>
      <c r="F810" s="44"/>
      <c r="G810" s="44"/>
      <c r="H810" s="44"/>
    </row>
    <row r="811" spans="1:8">
      <c r="A811" s="45"/>
      <c r="B811" s="45"/>
      <c r="C811" s="45"/>
      <c r="D811" s="45"/>
      <c r="E811" s="45"/>
      <c r="F811" s="45"/>
      <c r="G811" s="45"/>
      <c r="H811" s="45"/>
    </row>
    <row r="812" spans="1:8">
      <c r="A812" s="44"/>
      <c r="B812" s="44"/>
      <c r="C812" s="44"/>
      <c r="D812" s="44"/>
      <c r="E812" s="44"/>
      <c r="F812" s="44"/>
      <c r="G812" s="44"/>
      <c r="H812" s="44"/>
    </row>
    <row r="813" spans="1:8">
      <c r="A813" s="45"/>
      <c r="B813" s="45"/>
      <c r="C813" s="45"/>
      <c r="D813" s="45"/>
      <c r="E813" s="45"/>
      <c r="F813" s="45"/>
      <c r="G813" s="45"/>
      <c r="H813" s="45"/>
    </row>
    <row r="814" spans="1:8">
      <c r="A814" s="44"/>
      <c r="B814" s="44"/>
      <c r="C814" s="44"/>
      <c r="D814" s="44"/>
      <c r="E814" s="44"/>
      <c r="F814" s="44"/>
      <c r="G814" s="44"/>
      <c r="H814" s="44"/>
    </row>
    <row r="815" spans="1:8">
      <c r="A815" s="45"/>
      <c r="B815" s="45"/>
      <c r="C815" s="45"/>
      <c r="D815" s="45"/>
      <c r="E815" s="45"/>
      <c r="F815" s="45"/>
      <c r="G815" s="45"/>
      <c r="H815" s="45"/>
    </row>
    <row r="816" spans="1:8">
      <c r="A816" s="44"/>
      <c r="B816" s="44"/>
      <c r="C816" s="44"/>
      <c r="D816" s="44"/>
      <c r="E816" s="44"/>
      <c r="F816" s="44"/>
      <c r="G816" s="44"/>
      <c r="H816" s="44"/>
    </row>
    <row r="817" spans="1:8">
      <c r="A817" s="45"/>
      <c r="B817" s="45"/>
      <c r="C817" s="45"/>
      <c r="D817" s="45"/>
      <c r="E817" s="45"/>
      <c r="F817" s="45"/>
      <c r="G817" s="45"/>
      <c r="H817" s="45"/>
    </row>
    <row r="818" spans="1:8">
      <c r="A818" s="44"/>
      <c r="B818" s="44"/>
      <c r="C818" s="44"/>
      <c r="D818" s="44"/>
      <c r="E818" s="44"/>
      <c r="F818" s="44"/>
      <c r="G818" s="44"/>
      <c r="H818" s="44"/>
    </row>
    <row r="819" spans="1:8">
      <c r="A819" s="45"/>
      <c r="B819" s="45"/>
      <c r="C819" s="45"/>
      <c r="D819" s="45"/>
      <c r="E819" s="45"/>
      <c r="F819" s="45"/>
      <c r="G819" s="45"/>
      <c r="H819" s="45"/>
    </row>
    <row r="820" spans="1:8">
      <c r="A820" s="44"/>
      <c r="B820" s="44"/>
      <c r="C820" s="44"/>
      <c r="D820" s="44"/>
      <c r="E820" s="44"/>
      <c r="F820" s="44"/>
      <c r="G820" s="44"/>
      <c r="H820" s="44"/>
    </row>
    <row r="821" spans="1:8">
      <c r="A821" s="45"/>
      <c r="B821" s="45"/>
      <c r="C821" s="45"/>
      <c r="D821" s="45"/>
      <c r="E821" s="45"/>
      <c r="F821" s="45"/>
      <c r="G821" s="45"/>
      <c r="H821" s="45"/>
    </row>
    <row r="822" spans="1:8">
      <c r="A822" s="44"/>
      <c r="B822" s="44"/>
      <c r="C822" s="44"/>
      <c r="D822" s="44"/>
      <c r="E822" s="44"/>
      <c r="F822" s="44"/>
      <c r="G822" s="44"/>
      <c r="H822" s="44"/>
    </row>
    <row r="823" spans="1:8">
      <c r="A823" s="45"/>
      <c r="B823" s="45"/>
      <c r="C823" s="45"/>
      <c r="D823" s="45"/>
      <c r="E823" s="45"/>
      <c r="F823" s="45"/>
      <c r="G823" s="45"/>
      <c r="H823" s="45"/>
    </row>
    <row r="824" spans="1:8">
      <c r="A824" s="44"/>
      <c r="B824" s="44"/>
      <c r="C824" s="44"/>
      <c r="D824" s="44"/>
      <c r="E824" s="44"/>
      <c r="F824" s="44"/>
      <c r="G824" s="44"/>
      <c r="H824" s="44"/>
    </row>
    <row r="825" spans="1:8">
      <c r="A825" s="45"/>
      <c r="B825" s="45"/>
      <c r="C825" s="45"/>
      <c r="D825" s="45"/>
      <c r="E825" s="45"/>
      <c r="F825" s="45"/>
      <c r="G825" s="45"/>
      <c r="H825" s="45"/>
    </row>
    <row r="826" spans="1:8">
      <c r="A826" s="44"/>
      <c r="B826" s="44"/>
      <c r="C826" s="44"/>
      <c r="D826" s="44"/>
      <c r="E826" s="44"/>
      <c r="F826" s="44"/>
      <c r="G826" s="44"/>
      <c r="H826" s="44"/>
    </row>
    <row r="827" spans="1:8">
      <c r="A827" s="45"/>
      <c r="B827" s="45"/>
      <c r="C827" s="45"/>
      <c r="D827" s="45"/>
      <c r="E827" s="45"/>
      <c r="F827" s="45"/>
      <c r="G827" s="45"/>
      <c r="H827" s="45"/>
    </row>
    <row r="828" spans="1:8">
      <c r="A828" s="44"/>
      <c r="B828" s="44"/>
      <c r="C828" s="44"/>
      <c r="D828" s="44"/>
      <c r="E828" s="44"/>
      <c r="F828" s="44"/>
      <c r="G828" s="44"/>
      <c r="H828" s="44"/>
    </row>
    <row r="829" spans="1:8">
      <c r="A829" s="45"/>
      <c r="B829" s="45"/>
      <c r="C829" s="45"/>
      <c r="D829" s="45"/>
      <c r="E829" s="45"/>
      <c r="F829" s="45"/>
      <c r="G829" s="45"/>
      <c r="H829" s="45"/>
    </row>
    <row r="830" spans="1:8">
      <c r="A830" s="44"/>
      <c r="B830" s="44"/>
      <c r="C830" s="44"/>
      <c r="D830" s="44"/>
      <c r="E830" s="44"/>
      <c r="F830" s="44"/>
      <c r="G830" s="44"/>
      <c r="H830" s="44"/>
    </row>
    <row r="831" spans="1:8">
      <c r="A831" s="45"/>
      <c r="B831" s="45"/>
      <c r="C831" s="45"/>
      <c r="D831" s="45"/>
      <c r="E831" s="45"/>
      <c r="F831" s="45"/>
      <c r="G831" s="45"/>
      <c r="H831" s="45"/>
    </row>
    <row r="832" spans="1:8">
      <c r="A832" s="44"/>
      <c r="B832" s="44"/>
      <c r="C832" s="44"/>
      <c r="D832" s="44"/>
      <c r="E832" s="44"/>
      <c r="F832" s="44"/>
      <c r="G832" s="44"/>
      <c r="H832" s="44"/>
    </row>
    <row r="833" spans="1:8">
      <c r="A833" s="45"/>
      <c r="B833" s="45"/>
      <c r="C833" s="45"/>
      <c r="D833" s="45"/>
      <c r="E833" s="45"/>
      <c r="F833" s="45"/>
      <c r="G833" s="45"/>
      <c r="H833" s="45"/>
    </row>
    <row r="834" spans="1:8">
      <c r="A834" s="44"/>
      <c r="B834" s="44"/>
      <c r="C834" s="44"/>
      <c r="D834" s="44"/>
      <c r="E834" s="44"/>
      <c r="F834" s="44"/>
      <c r="G834" s="44"/>
      <c r="H834" s="44"/>
    </row>
    <row r="835" spans="1:8">
      <c r="A835" s="45"/>
      <c r="B835" s="45"/>
      <c r="C835" s="45"/>
      <c r="D835" s="45"/>
      <c r="E835" s="45"/>
      <c r="F835" s="45"/>
      <c r="G835" s="45"/>
      <c r="H835" s="45"/>
    </row>
    <row r="836" spans="1:8">
      <c r="A836" s="44"/>
      <c r="B836" s="44"/>
      <c r="C836" s="44"/>
      <c r="D836" s="44"/>
      <c r="E836" s="44"/>
      <c r="F836" s="44"/>
      <c r="G836" s="44"/>
      <c r="H836" s="44"/>
    </row>
    <row r="837" spans="1:8">
      <c r="A837" s="45"/>
      <c r="B837" s="45"/>
      <c r="C837" s="45"/>
      <c r="D837" s="45"/>
      <c r="E837" s="45"/>
      <c r="F837" s="45"/>
      <c r="G837" s="45"/>
      <c r="H837" s="45"/>
    </row>
    <row r="838" spans="1:8">
      <c r="A838" s="44"/>
      <c r="B838" s="44"/>
      <c r="C838" s="44"/>
      <c r="D838" s="44"/>
      <c r="E838" s="44"/>
      <c r="F838" s="44"/>
      <c r="G838" s="44"/>
      <c r="H838" s="44"/>
    </row>
    <row r="839" spans="1:8">
      <c r="A839" s="45"/>
      <c r="B839" s="45"/>
      <c r="C839" s="45"/>
      <c r="D839" s="45"/>
      <c r="E839" s="45"/>
      <c r="F839" s="45"/>
      <c r="G839" s="45"/>
      <c r="H839" s="45"/>
    </row>
    <row r="840" spans="1:8">
      <c r="A840" s="44"/>
      <c r="B840" s="44"/>
      <c r="C840" s="44"/>
      <c r="D840" s="44"/>
      <c r="E840" s="44"/>
      <c r="F840" s="44"/>
      <c r="G840" s="44"/>
      <c r="H840" s="44"/>
    </row>
    <row r="841" spans="1:8">
      <c r="A841" s="45"/>
      <c r="B841" s="45"/>
      <c r="C841" s="45"/>
      <c r="D841" s="45"/>
      <c r="E841" s="45"/>
      <c r="F841" s="45"/>
      <c r="G841" s="45"/>
      <c r="H841" s="45"/>
    </row>
    <row r="842" spans="1:8">
      <c r="A842" s="44"/>
      <c r="B842" s="44"/>
      <c r="C842" s="44"/>
      <c r="D842" s="44"/>
      <c r="E842" s="44"/>
      <c r="F842" s="44"/>
      <c r="G842" s="44"/>
      <c r="H842" s="44"/>
    </row>
    <row r="843" spans="1:8">
      <c r="A843" s="45"/>
      <c r="B843" s="45"/>
      <c r="C843" s="45"/>
      <c r="D843" s="45"/>
      <c r="E843" s="45"/>
      <c r="F843" s="45"/>
      <c r="G843" s="45"/>
      <c r="H843" s="45"/>
    </row>
    <row r="844" spans="1:8">
      <c r="A844" s="44"/>
      <c r="B844" s="44"/>
      <c r="C844" s="44"/>
      <c r="D844" s="44"/>
      <c r="E844" s="44"/>
      <c r="F844" s="44"/>
      <c r="G844" s="44"/>
      <c r="H844" s="44"/>
    </row>
    <row r="845" spans="1:8">
      <c r="A845" s="45"/>
      <c r="B845" s="45"/>
      <c r="C845" s="45"/>
      <c r="D845" s="45"/>
      <c r="E845" s="45"/>
      <c r="F845" s="45"/>
      <c r="G845" s="45"/>
      <c r="H845" s="45"/>
    </row>
    <row r="846" spans="1:8">
      <c r="A846" s="44"/>
      <c r="B846" s="44"/>
      <c r="C846" s="44"/>
      <c r="D846" s="44"/>
      <c r="E846" s="44"/>
      <c r="F846" s="44"/>
      <c r="G846" s="44"/>
      <c r="H846" s="44"/>
    </row>
    <row r="847" spans="1:8">
      <c r="A847" s="45"/>
      <c r="B847" s="45"/>
      <c r="C847" s="45"/>
      <c r="D847" s="45"/>
      <c r="E847" s="45"/>
      <c r="F847" s="45"/>
      <c r="G847" s="45"/>
      <c r="H847" s="45"/>
    </row>
    <row r="848" spans="1:8">
      <c r="A848" s="44"/>
      <c r="B848" s="44"/>
      <c r="C848" s="44"/>
      <c r="D848" s="44"/>
      <c r="E848" s="44"/>
      <c r="F848" s="44"/>
      <c r="G848" s="44"/>
      <c r="H848" s="44"/>
    </row>
    <row r="849" spans="1:8">
      <c r="A849" s="45"/>
      <c r="B849" s="45"/>
      <c r="C849" s="45"/>
      <c r="D849" s="45"/>
      <c r="E849" s="45"/>
      <c r="F849" s="45"/>
      <c r="G849" s="45"/>
      <c r="H849" s="45"/>
    </row>
    <row r="850" spans="1:8">
      <c r="A850" s="44"/>
      <c r="B850" s="44"/>
      <c r="C850" s="44"/>
      <c r="D850" s="44"/>
      <c r="E850" s="44"/>
      <c r="F850" s="44"/>
      <c r="G850" s="44"/>
      <c r="H850" s="44"/>
    </row>
    <row r="851" spans="1:8">
      <c r="A851" s="45"/>
      <c r="B851" s="45"/>
      <c r="C851" s="45"/>
      <c r="D851" s="45"/>
      <c r="E851" s="45"/>
      <c r="F851" s="45"/>
      <c r="G851" s="45"/>
      <c r="H851" s="45"/>
    </row>
    <row r="852" spans="1:8">
      <c r="A852" s="44"/>
      <c r="B852" s="44"/>
      <c r="C852" s="44"/>
      <c r="D852" s="44"/>
      <c r="E852" s="44"/>
      <c r="F852" s="44"/>
      <c r="G852" s="44"/>
      <c r="H852" s="44"/>
    </row>
    <row r="853" spans="1:8">
      <c r="A853" s="45"/>
      <c r="B853" s="45"/>
      <c r="C853" s="45"/>
      <c r="D853" s="45"/>
      <c r="E853" s="45"/>
      <c r="F853" s="45"/>
      <c r="G853" s="45"/>
      <c r="H853" s="45"/>
    </row>
    <row r="854" spans="1:8">
      <c r="A854" s="44"/>
      <c r="B854" s="44"/>
      <c r="C854" s="44"/>
      <c r="D854" s="44"/>
      <c r="E854" s="44"/>
      <c r="F854" s="44"/>
      <c r="G854" s="44"/>
      <c r="H854" s="44"/>
    </row>
    <row r="855" spans="1:8">
      <c r="A855" s="45"/>
      <c r="B855" s="45"/>
      <c r="C855" s="45"/>
      <c r="D855" s="45"/>
      <c r="E855" s="45"/>
      <c r="F855" s="45"/>
      <c r="G855" s="45"/>
      <c r="H855" s="45"/>
    </row>
    <row r="856" spans="1:8">
      <c r="A856" s="44"/>
      <c r="B856" s="44"/>
      <c r="C856" s="44"/>
      <c r="D856" s="44"/>
      <c r="E856" s="44"/>
      <c r="F856" s="44"/>
      <c r="G856" s="44"/>
      <c r="H856" s="44"/>
    </row>
    <row r="857" spans="1:8">
      <c r="A857" s="45"/>
      <c r="B857" s="45"/>
      <c r="C857" s="45"/>
      <c r="D857" s="45"/>
      <c r="E857" s="45"/>
      <c r="F857" s="45"/>
      <c r="G857" s="45"/>
      <c r="H857" s="45"/>
    </row>
    <row r="858" spans="1:8">
      <c r="A858" s="44"/>
      <c r="B858" s="44"/>
      <c r="C858" s="44"/>
      <c r="D858" s="44"/>
      <c r="E858" s="44"/>
      <c r="F858" s="44"/>
      <c r="G858" s="44"/>
      <c r="H858" s="44"/>
    </row>
    <row r="859" spans="1:8">
      <c r="A859" s="45"/>
      <c r="B859" s="45"/>
      <c r="C859" s="45"/>
      <c r="D859" s="45"/>
      <c r="E859" s="45"/>
      <c r="F859" s="45"/>
      <c r="G859" s="45"/>
      <c r="H859" s="45"/>
    </row>
    <row r="860" spans="1:8">
      <c r="A860" s="44"/>
      <c r="B860" s="44"/>
      <c r="C860" s="44"/>
      <c r="D860" s="44"/>
      <c r="E860" s="44"/>
      <c r="F860" s="44"/>
      <c r="G860" s="44"/>
      <c r="H860" s="44"/>
    </row>
    <row r="861" spans="1:8">
      <c r="A861" s="45"/>
      <c r="B861" s="45"/>
      <c r="C861" s="45"/>
      <c r="D861" s="45"/>
      <c r="E861" s="45"/>
      <c r="F861" s="45"/>
      <c r="G861" s="45"/>
      <c r="H861" s="45"/>
    </row>
    <row r="862" spans="1:8">
      <c r="A862" s="44"/>
      <c r="B862" s="44"/>
      <c r="C862" s="44"/>
      <c r="D862" s="44"/>
      <c r="E862" s="44"/>
      <c r="F862" s="44"/>
      <c r="G862" s="44"/>
      <c r="H862" s="44"/>
    </row>
    <row r="863" spans="1:8">
      <c r="A863" s="45"/>
      <c r="B863" s="45"/>
      <c r="C863" s="45"/>
      <c r="D863" s="45"/>
      <c r="E863" s="45"/>
      <c r="F863" s="45"/>
      <c r="G863" s="45"/>
      <c r="H863" s="45"/>
    </row>
    <row r="864" spans="1:8">
      <c r="A864" s="44"/>
      <c r="B864" s="44"/>
      <c r="C864" s="44"/>
      <c r="D864" s="44"/>
      <c r="E864" s="44"/>
      <c r="F864" s="44"/>
      <c r="G864" s="44"/>
      <c r="H864" s="44"/>
    </row>
    <row r="865" spans="1:8">
      <c r="A865" s="45"/>
      <c r="B865" s="45"/>
      <c r="C865" s="45"/>
      <c r="D865" s="45"/>
      <c r="E865" s="45"/>
      <c r="F865" s="45"/>
      <c r="G865" s="45"/>
      <c r="H865" s="45"/>
    </row>
    <row r="866" spans="1:8">
      <c r="A866" s="44"/>
      <c r="B866" s="44"/>
      <c r="C866" s="44"/>
      <c r="D866" s="44"/>
      <c r="E866" s="44"/>
      <c r="F866" s="44"/>
      <c r="G866" s="44"/>
      <c r="H866" s="44"/>
    </row>
    <row r="867" spans="1:8">
      <c r="A867" s="45"/>
      <c r="B867" s="45"/>
      <c r="C867" s="45"/>
      <c r="D867" s="45"/>
      <c r="E867" s="45"/>
      <c r="F867" s="45"/>
      <c r="G867" s="45"/>
      <c r="H867" s="45"/>
    </row>
    <row r="868" spans="1:8">
      <c r="A868" s="44"/>
      <c r="B868" s="44"/>
      <c r="C868" s="44"/>
      <c r="D868" s="44"/>
      <c r="E868" s="44"/>
      <c r="F868" s="44"/>
      <c r="G868" s="44"/>
      <c r="H868" s="44"/>
    </row>
    <row r="869" spans="1:8">
      <c r="A869" s="45"/>
      <c r="B869" s="45"/>
      <c r="C869" s="45"/>
      <c r="D869" s="45"/>
      <c r="E869" s="45"/>
      <c r="F869" s="45"/>
      <c r="G869" s="45"/>
      <c r="H869" s="45"/>
    </row>
    <row r="870" spans="1:8">
      <c r="A870" s="44"/>
      <c r="B870" s="44"/>
      <c r="C870" s="44"/>
      <c r="D870" s="44"/>
      <c r="E870" s="44"/>
      <c r="F870" s="44"/>
      <c r="G870" s="44"/>
      <c r="H870" s="44"/>
    </row>
    <row r="871" spans="1:8">
      <c r="A871" s="45"/>
      <c r="B871" s="45"/>
      <c r="C871" s="45"/>
      <c r="D871" s="45"/>
      <c r="E871" s="45"/>
      <c r="F871" s="45"/>
      <c r="G871" s="45"/>
      <c r="H871" s="45"/>
    </row>
    <row r="872" spans="1:8">
      <c r="A872" s="44"/>
      <c r="B872" s="44"/>
      <c r="C872" s="44"/>
      <c r="D872" s="44"/>
      <c r="E872" s="44"/>
      <c r="F872" s="44"/>
      <c r="G872" s="44"/>
      <c r="H872" s="44"/>
    </row>
    <row r="873" spans="1:8">
      <c r="A873" s="45"/>
      <c r="B873" s="45"/>
      <c r="C873" s="45"/>
      <c r="D873" s="45"/>
      <c r="E873" s="45"/>
      <c r="F873" s="45"/>
      <c r="G873" s="45"/>
      <c r="H873" s="45"/>
    </row>
    <row r="874" spans="1:8">
      <c r="A874" s="44"/>
      <c r="B874" s="44"/>
      <c r="C874" s="44"/>
      <c r="D874" s="44"/>
      <c r="E874" s="44"/>
      <c r="F874" s="44"/>
      <c r="G874" s="44"/>
      <c r="H874" s="44"/>
    </row>
    <row r="875" spans="1:8">
      <c r="A875" s="45"/>
      <c r="B875" s="45"/>
      <c r="C875" s="45"/>
      <c r="D875" s="45"/>
      <c r="E875" s="45"/>
      <c r="F875" s="45"/>
      <c r="G875" s="45"/>
      <c r="H875" s="45"/>
    </row>
    <row r="876" spans="1:8">
      <c r="A876" s="44"/>
      <c r="B876" s="44"/>
      <c r="C876" s="44"/>
      <c r="D876" s="44"/>
      <c r="E876" s="44"/>
      <c r="F876" s="44"/>
      <c r="G876" s="44"/>
      <c r="H876" s="44"/>
    </row>
    <row r="877" spans="1:8">
      <c r="A877" s="45"/>
      <c r="B877" s="45"/>
      <c r="C877" s="45"/>
      <c r="D877" s="45"/>
      <c r="E877" s="45"/>
      <c r="F877" s="45"/>
      <c r="G877" s="45"/>
      <c r="H877" s="45"/>
    </row>
    <row r="878" spans="1:8">
      <c r="A878" s="44"/>
      <c r="B878" s="44"/>
      <c r="C878" s="44"/>
      <c r="D878" s="44"/>
      <c r="E878" s="44"/>
      <c r="F878" s="44"/>
      <c r="G878" s="44"/>
      <c r="H878" s="44"/>
    </row>
    <row r="879" spans="1:8">
      <c r="A879" s="45"/>
      <c r="B879" s="45"/>
      <c r="C879" s="45"/>
      <c r="D879" s="45"/>
      <c r="E879" s="45"/>
      <c r="F879" s="45"/>
      <c r="G879" s="45"/>
      <c r="H879" s="45"/>
    </row>
    <row r="880" spans="1:8">
      <c r="A880" s="44"/>
      <c r="B880" s="44"/>
      <c r="C880" s="44"/>
      <c r="D880" s="44"/>
      <c r="E880" s="44"/>
      <c r="F880" s="44"/>
      <c r="G880" s="44"/>
      <c r="H880" s="44"/>
    </row>
    <row r="881" spans="1:8">
      <c r="A881" s="45"/>
      <c r="B881" s="45"/>
      <c r="C881" s="45"/>
      <c r="D881" s="45"/>
      <c r="E881" s="45"/>
      <c r="F881" s="45"/>
      <c r="G881" s="45"/>
      <c r="H881" s="45"/>
    </row>
    <row r="882" spans="1:8">
      <c r="A882" s="44"/>
      <c r="B882" s="44"/>
      <c r="C882" s="44"/>
      <c r="D882" s="44"/>
      <c r="E882" s="44"/>
      <c r="F882" s="44"/>
      <c r="G882" s="44"/>
      <c r="H882" s="44"/>
    </row>
    <row r="883" spans="1:8">
      <c r="A883" s="45"/>
      <c r="B883" s="45"/>
      <c r="C883" s="45"/>
      <c r="D883" s="45"/>
      <c r="E883" s="45"/>
      <c r="F883" s="45"/>
      <c r="G883" s="45"/>
      <c r="H883" s="45"/>
    </row>
    <row r="884" spans="1:8">
      <c r="A884" s="44"/>
      <c r="B884" s="44"/>
      <c r="C884" s="44"/>
      <c r="D884" s="44"/>
      <c r="E884" s="44"/>
      <c r="F884" s="44"/>
      <c r="G884" s="44"/>
      <c r="H884" s="44"/>
    </row>
    <row r="885" spans="1:8">
      <c r="A885" s="45"/>
      <c r="B885" s="45"/>
      <c r="C885" s="45"/>
      <c r="D885" s="45"/>
      <c r="E885" s="45"/>
      <c r="F885" s="45"/>
      <c r="G885" s="45"/>
      <c r="H885" s="45"/>
    </row>
    <row r="886" spans="1:8">
      <c r="A886" s="44"/>
      <c r="B886" s="44"/>
      <c r="C886" s="44"/>
      <c r="D886" s="44"/>
      <c r="E886" s="44"/>
      <c r="F886" s="44"/>
      <c r="G886" s="44"/>
      <c r="H886" s="44"/>
    </row>
    <row r="887" spans="1:8">
      <c r="A887" s="45"/>
      <c r="B887" s="45"/>
      <c r="C887" s="45"/>
      <c r="D887" s="45"/>
      <c r="E887" s="45"/>
      <c r="F887" s="45"/>
      <c r="G887" s="45"/>
      <c r="H887" s="45"/>
    </row>
    <row r="888" spans="1:8">
      <c r="A888" s="44"/>
      <c r="B888" s="44"/>
      <c r="C888" s="44"/>
      <c r="D888" s="44"/>
      <c r="E888" s="44"/>
      <c r="F888" s="44"/>
      <c r="G888" s="44"/>
      <c r="H888" s="44"/>
    </row>
    <row r="889" spans="1:8">
      <c r="A889" s="45"/>
      <c r="B889" s="45"/>
      <c r="C889" s="45"/>
      <c r="D889" s="45"/>
      <c r="E889" s="45"/>
      <c r="F889" s="45"/>
      <c r="G889" s="45"/>
      <c r="H889" s="45"/>
    </row>
    <row r="890" spans="1:8">
      <c r="A890" s="44"/>
      <c r="B890" s="44"/>
      <c r="C890" s="44"/>
      <c r="D890" s="44"/>
      <c r="E890" s="44"/>
      <c r="F890" s="44"/>
      <c r="G890" s="44"/>
      <c r="H890" s="44"/>
    </row>
    <row r="891" spans="1:8">
      <c r="A891" s="45"/>
      <c r="B891" s="45"/>
      <c r="C891" s="45"/>
      <c r="D891" s="45"/>
      <c r="E891" s="45"/>
      <c r="F891" s="45"/>
      <c r="G891" s="45"/>
      <c r="H891" s="45"/>
    </row>
    <row r="892" spans="1:8">
      <c r="A892" s="44"/>
      <c r="B892" s="44"/>
      <c r="C892" s="44"/>
      <c r="D892" s="44"/>
      <c r="E892" s="44"/>
      <c r="F892" s="44"/>
      <c r="G892" s="44"/>
      <c r="H892" s="44"/>
    </row>
    <row r="893" spans="1:8">
      <c r="A893" s="45"/>
      <c r="B893" s="45"/>
      <c r="C893" s="45"/>
      <c r="D893" s="45"/>
      <c r="E893" s="45"/>
      <c r="F893" s="45"/>
      <c r="G893" s="45"/>
      <c r="H893" s="45"/>
    </row>
    <row r="894" spans="1:8">
      <c r="A894" s="44"/>
      <c r="B894" s="44"/>
      <c r="C894" s="44"/>
      <c r="D894" s="44"/>
      <c r="E894" s="44"/>
      <c r="F894" s="44"/>
      <c r="G894" s="44"/>
      <c r="H894" s="44"/>
    </row>
    <row r="895" spans="1:8">
      <c r="A895" s="45"/>
      <c r="B895" s="45"/>
      <c r="C895" s="45"/>
      <c r="D895" s="45"/>
      <c r="E895" s="45"/>
      <c r="F895" s="45"/>
      <c r="G895" s="45"/>
      <c r="H895" s="45"/>
    </row>
    <row r="896" spans="1:8">
      <c r="A896" s="44"/>
      <c r="B896" s="44"/>
      <c r="C896" s="44"/>
      <c r="D896" s="44"/>
      <c r="E896" s="44"/>
      <c r="F896" s="44"/>
      <c r="G896" s="44"/>
      <c r="H896" s="44"/>
    </row>
    <row r="897" spans="1:8">
      <c r="A897" s="45"/>
      <c r="B897" s="45"/>
      <c r="C897" s="45"/>
      <c r="D897" s="45"/>
      <c r="E897" s="45"/>
      <c r="F897" s="45"/>
      <c r="G897" s="45"/>
      <c r="H897" s="45"/>
    </row>
    <row r="898" spans="1:8">
      <c r="A898" s="44"/>
      <c r="B898" s="44"/>
      <c r="C898" s="44"/>
      <c r="D898" s="44"/>
      <c r="E898" s="44"/>
      <c r="F898" s="44"/>
      <c r="G898" s="44"/>
      <c r="H898" s="44"/>
    </row>
    <row r="899" spans="1:8">
      <c r="A899" s="45"/>
      <c r="B899" s="45"/>
      <c r="C899" s="45"/>
      <c r="D899" s="45"/>
      <c r="E899" s="45"/>
      <c r="F899" s="45"/>
      <c r="G899" s="45"/>
      <c r="H899" s="45"/>
    </row>
    <row r="900" spans="1:8">
      <c r="A900" s="44"/>
      <c r="B900" s="44"/>
      <c r="C900" s="44"/>
      <c r="D900" s="44"/>
      <c r="E900" s="44"/>
      <c r="F900" s="44"/>
      <c r="G900" s="44"/>
      <c r="H900" s="44"/>
    </row>
    <row r="901" spans="1:8">
      <c r="A901" s="45"/>
      <c r="B901" s="45"/>
      <c r="C901" s="45"/>
      <c r="D901" s="45"/>
      <c r="E901" s="45"/>
      <c r="F901" s="45"/>
      <c r="G901" s="45"/>
      <c r="H901" s="45"/>
    </row>
    <row r="902" spans="1:8">
      <c r="A902" s="44"/>
      <c r="B902" s="44"/>
      <c r="C902" s="44"/>
      <c r="D902" s="44"/>
      <c r="E902" s="44"/>
      <c r="F902" s="44"/>
      <c r="G902" s="44"/>
      <c r="H902" s="44"/>
    </row>
    <row r="903" spans="1:8">
      <c r="A903" s="45"/>
      <c r="B903" s="45"/>
      <c r="C903" s="45"/>
      <c r="D903" s="45"/>
      <c r="E903" s="45"/>
      <c r="F903" s="45"/>
      <c r="G903" s="45"/>
      <c r="H903" s="45"/>
    </row>
    <row r="904" spans="1:8">
      <c r="A904" s="44"/>
      <c r="B904" s="44"/>
      <c r="C904" s="44"/>
      <c r="D904" s="44"/>
      <c r="E904" s="44"/>
      <c r="F904" s="44"/>
      <c r="G904" s="44"/>
      <c r="H904" s="44"/>
    </row>
    <row r="905" spans="1:8">
      <c r="A905" s="45"/>
      <c r="B905" s="45"/>
      <c r="C905" s="45"/>
      <c r="D905" s="45"/>
      <c r="E905" s="45"/>
      <c r="F905" s="45"/>
      <c r="G905" s="45"/>
      <c r="H905" s="45"/>
    </row>
    <row r="906" spans="1:8">
      <c r="A906" s="44"/>
      <c r="B906" s="44"/>
      <c r="C906" s="44"/>
      <c r="D906" s="44"/>
      <c r="E906" s="44"/>
      <c r="F906" s="44"/>
      <c r="G906" s="44"/>
      <c r="H906" s="44"/>
    </row>
    <row r="907" spans="1:8">
      <c r="A907" s="45"/>
      <c r="B907" s="45"/>
      <c r="C907" s="45"/>
      <c r="D907" s="45"/>
      <c r="E907" s="45"/>
      <c r="F907" s="45"/>
      <c r="G907" s="45"/>
      <c r="H907" s="45"/>
    </row>
    <row r="908" spans="1:8">
      <c r="A908" s="44"/>
      <c r="B908" s="44"/>
      <c r="C908" s="44"/>
      <c r="D908" s="44"/>
      <c r="E908" s="44"/>
      <c r="F908" s="44"/>
      <c r="G908" s="44"/>
      <c r="H908" s="44"/>
    </row>
    <row r="909" spans="1:8">
      <c r="A909" s="45"/>
      <c r="B909" s="45"/>
      <c r="C909" s="45"/>
      <c r="D909" s="45"/>
      <c r="E909" s="45"/>
      <c r="F909" s="45"/>
      <c r="G909" s="45"/>
      <c r="H909" s="45"/>
    </row>
    <row r="910" spans="1:8">
      <c r="A910" s="44"/>
      <c r="B910" s="44"/>
      <c r="C910" s="44"/>
      <c r="D910" s="44"/>
      <c r="E910" s="44"/>
      <c r="F910" s="44"/>
      <c r="G910" s="44"/>
      <c r="H910" s="44"/>
    </row>
    <row r="911" spans="1:8">
      <c r="A911" s="45"/>
      <c r="B911" s="45"/>
      <c r="C911" s="45"/>
      <c r="D911" s="45"/>
      <c r="E911" s="45"/>
      <c r="F911" s="45"/>
      <c r="G911" s="45"/>
      <c r="H911" s="45"/>
    </row>
    <row r="912" spans="1:8">
      <c r="A912" s="44"/>
      <c r="B912" s="44"/>
      <c r="C912" s="44"/>
      <c r="D912" s="44"/>
      <c r="E912" s="44"/>
      <c r="F912" s="44"/>
      <c r="G912" s="44"/>
      <c r="H912" s="44"/>
    </row>
    <row r="913" spans="1:8">
      <c r="A913" s="45"/>
      <c r="B913" s="45"/>
      <c r="C913" s="45"/>
      <c r="D913" s="45"/>
      <c r="E913" s="45"/>
      <c r="F913" s="45"/>
      <c r="G913" s="45"/>
      <c r="H913" s="45"/>
    </row>
    <row r="914" spans="1:8">
      <c r="A914" s="44"/>
      <c r="B914" s="44"/>
      <c r="C914" s="44"/>
      <c r="D914" s="44"/>
      <c r="E914" s="44"/>
      <c r="F914" s="44"/>
      <c r="G914" s="44"/>
      <c r="H914" s="44"/>
    </row>
    <row r="915" spans="1:8">
      <c r="A915" s="45"/>
      <c r="B915" s="45"/>
      <c r="C915" s="45"/>
      <c r="D915" s="45"/>
      <c r="E915" s="45"/>
      <c r="F915" s="45"/>
      <c r="G915" s="45"/>
      <c r="H915" s="45"/>
    </row>
    <row r="916" spans="1:8">
      <c r="A916" s="44"/>
      <c r="B916" s="44"/>
      <c r="C916" s="44"/>
      <c r="D916" s="44"/>
      <c r="E916" s="44"/>
      <c r="F916" s="44"/>
      <c r="G916" s="44"/>
      <c r="H916" s="44"/>
    </row>
    <row r="917" spans="1:8">
      <c r="A917" s="45"/>
      <c r="B917" s="45"/>
      <c r="C917" s="45"/>
      <c r="D917" s="45"/>
      <c r="E917" s="45"/>
      <c r="F917" s="45"/>
      <c r="G917" s="45"/>
      <c r="H917" s="45"/>
    </row>
    <row r="918" spans="1:8">
      <c r="A918" s="44"/>
      <c r="B918" s="44"/>
      <c r="C918" s="44"/>
      <c r="D918" s="44"/>
      <c r="E918" s="44"/>
      <c r="F918" s="44"/>
      <c r="G918" s="44"/>
      <c r="H918" s="44"/>
    </row>
    <row r="919" spans="1:8">
      <c r="A919" s="45"/>
      <c r="B919" s="45"/>
      <c r="C919" s="45"/>
      <c r="D919" s="45"/>
      <c r="E919" s="45"/>
      <c r="F919" s="45"/>
      <c r="G919" s="45"/>
      <c r="H919" s="45"/>
    </row>
    <row r="920" spans="1:8">
      <c r="A920" s="44"/>
      <c r="B920" s="44"/>
      <c r="C920" s="44"/>
      <c r="D920" s="44"/>
      <c r="E920" s="44"/>
      <c r="F920" s="44"/>
      <c r="G920" s="44"/>
      <c r="H920" s="44"/>
    </row>
    <row r="921" spans="1:8">
      <c r="A921" s="45"/>
      <c r="B921" s="45"/>
      <c r="C921" s="45"/>
      <c r="D921" s="45"/>
      <c r="E921" s="45"/>
      <c r="F921" s="45"/>
      <c r="G921" s="45"/>
      <c r="H921" s="45"/>
    </row>
    <row r="922" spans="1:8">
      <c r="A922" s="44"/>
      <c r="B922" s="44"/>
      <c r="C922" s="44"/>
      <c r="D922" s="44"/>
      <c r="E922" s="44"/>
      <c r="F922" s="44"/>
      <c r="G922" s="44"/>
      <c r="H922" s="44"/>
    </row>
    <row r="923" spans="1:8">
      <c r="A923" s="45"/>
      <c r="B923" s="45"/>
      <c r="C923" s="45"/>
      <c r="D923" s="45"/>
      <c r="E923" s="45"/>
      <c r="F923" s="45"/>
      <c r="G923" s="45"/>
      <c r="H923" s="45"/>
    </row>
    <row r="924" spans="1:8">
      <c r="A924" s="44"/>
      <c r="B924" s="44"/>
      <c r="C924" s="44"/>
      <c r="D924" s="44"/>
      <c r="E924" s="44"/>
      <c r="F924" s="44"/>
      <c r="G924" s="44"/>
      <c r="H924" s="44"/>
    </row>
    <row r="925" spans="1:8">
      <c r="A925" s="45"/>
      <c r="B925" s="45"/>
      <c r="C925" s="45"/>
      <c r="D925" s="45"/>
      <c r="E925" s="45"/>
      <c r="F925" s="45"/>
      <c r="G925" s="45"/>
      <c r="H925" s="45"/>
    </row>
    <row r="926" spans="1:8">
      <c r="A926" s="44"/>
      <c r="B926" s="44"/>
      <c r="C926" s="44"/>
      <c r="D926" s="44"/>
      <c r="E926" s="44"/>
      <c r="F926" s="44"/>
      <c r="G926" s="44"/>
      <c r="H926" s="44"/>
    </row>
    <row r="927" spans="1:8">
      <c r="A927" s="45"/>
      <c r="B927" s="45"/>
      <c r="C927" s="45"/>
      <c r="D927" s="45"/>
      <c r="E927" s="45"/>
      <c r="F927" s="45"/>
      <c r="G927" s="45"/>
      <c r="H927" s="45"/>
    </row>
    <row r="928" spans="1:8">
      <c r="A928" s="44"/>
      <c r="B928" s="44"/>
      <c r="C928" s="44"/>
      <c r="D928" s="44"/>
      <c r="E928" s="44"/>
      <c r="F928" s="44"/>
      <c r="G928" s="44"/>
      <c r="H928" s="44"/>
    </row>
    <row r="929" spans="1:8">
      <c r="A929" s="45"/>
      <c r="B929" s="45"/>
      <c r="C929" s="45"/>
      <c r="D929" s="45"/>
      <c r="E929" s="45"/>
      <c r="F929" s="45"/>
      <c r="G929" s="45"/>
      <c r="H929" s="45"/>
    </row>
    <row r="930" spans="1:8">
      <c r="A930" s="44"/>
      <c r="B930" s="44"/>
      <c r="C930" s="44"/>
      <c r="D930" s="44"/>
      <c r="E930" s="44"/>
      <c r="F930" s="44"/>
      <c r="G930" s="44"/>
      <c r="H930" s="44"/>
    </row>
    <row r="931" spans="1:8">
      <c r="A931" s="45"/>
      <c r="B931" s="45"/>
      <c r="C931" s="45"/>
      <c r="D931" s="45"/>
      <c r="E931" s="45"/>
      <c r="F931" s="45"/>
      <c r="G931" s="45"/>
      <c r="H931" s="45"/>
    </row>
    <row r="932" spans="1:8">
      <c r="A932" s="44"/>
      <c r="B932" s="44"/>
      <c r="C932" s="44"/>
      <c r="D932" s="44"/>
      <c r="E932" s="44"/>
      <c r="F932" s="44"/>
      <c r="G932" s="44"/>
      <c r="H932" s="44"/>
    </row>
    <row r="933" spans="1:8">
      <c r="A933" s="45"/>
      <c r="B933" s="45"/>
      <c r="C933" s="45"/>
      <c r="D933" s="45"/>
      <c r="E933" s="45"/>
      <c r="F933" s="45"/>
      <c r="G933" s="45"/>
      <c r="H933" s="45"/>
    </row>
    <row r="934" spans="1:8">
      <c r="A934" s="44"/>
      <c r="B934" s="44"/>
      <c r="C934" s="44"/>
      <c r="D934" s="44"/>
      <c r="E934" s="44"/>
      <c r="F934" s="44"/>
      <c r="G934" s="44"/>
      <c r="H934" s="44"/>
    </row>
    <row r="935" spans="1:8">
      <c r="A935" s="45"/>
      <c r="B935" s="45"/>
      <c r="C935" s="45"/>
      <c r="D935" s="45"/>
      <c r="E935" s="45"/>
      <c r="F935" s="45"/>
      <c r="G935" s="45"/>
      <c r="H935" s="45"/>
    </row>
    <row r="936" spans="1:8">
      <c r="A936" s="44"/>
      <c r="B936" s="44"/>
      <c r="C936" s="44"/>
      <c r="D936" s="44"/>
      <c r="E936" s="44"/>
      <c r="F936" s="44"/>
      <c r="G936" s="44"/>
      <c r="H936" s="44"/>
    </row>
    <row r="937" spans="1:8">
      <c r="A937" s="45"/>
      <c r="B937" s="45"/>
      <c r="C937" s="45"/>
      <c r="D937" s="45"/>
      <c r="E937" s="45"/>
      <c r="F937" s="45"/>
      <c r="G937" s="45"/>
      <c r="H937" s="45"/>
    </row>
    <row r="938" spans="1:8">
      <c r="A938" s="44"/>
      <c r="B938" s="44"/>
      <c r="C938" s="44"/>
      <c r="D938" s="44"/>
      <c r="E938" s="44"/>
      <c r="F938" s="44"/>
      <c r="G938" s="44"/>
      <c r="H938" s="44"/>
    </row>
    <row r="939" spans="1:8">
      <c r="A939" s="45"/>
      <c r="B939" s="45"/>
      <c r="C939" s="45"/>
      <c r="D939" s="45"/>
      <c r="E939" s="45"/>
      <c r="F939" s="45"/>
      <c r="G939" s="45"/>
      <c r="H939" s="45"/>
    </row>
    <row r="940" spans="1:8">
      <c r="A940" s="44"/>
      <c r="B940" s="44"/>
      <c r="C940" s="44"/>
      <c r="D940" s="44"/>
      <c r="E940" s="44"/>
      <c r="F940" s="44"/>
      <c r="G940" s="44"/>
      <c r="H940" s="44"/>
    </row>
    <row r="941" spans="1:8">
      <c r="A941" s="45"/>
      <c r="B941" s="45"/>
      <c r="C941" s="45"/>
      <c r="D941" s="45"/>
      <c r="E941" s="45"/>
      <c r="F941" s="45"/>
      <c r="G941" s="45"/>
      <c r="H941" s="45"/>
    </row>
    <row r="942" spans="1:8">
      <c r="A942" s="44"/>
      <c r="B942" s="44"/>
      <c r="C942" s="44"/>
      <c r="D942" s="44"/>
      <c r="E942" s="44"/>
      <c r="F942" s="44"/>
      <c r="G942" s="44"/>
      <c r="H942" s="44"/>
    </row>
    <row r="943" spans="1:8">
      <c r="A943" s="45"/>
      <c r="B943" s="45"/>
      <c r="C943" s="45"/>
      <c r="D943" s="45"/>
      <c r="E943" s="45"/>
      <c r="F943" s="45"/>
      <c r="G943" s="45"/>
      <c r="H943" s="45"/>
    </row>
    <row r="944" spans="1:8">
      <c r="A944" s="44"/>
      <c r="B944" s="44"/>
      <c r="C944" s="44"/>
      <c r="D944" s="44"/>
      <c r="E944" s="44"/>
      <c r="F944" s="44"/>
      <c r="G944" s="44"/>
      <c r="H944" s="44"/>
    </row>
    <row r="945" spans="1:8">
      <c r="A945" s="45"/>
      <c r="B945" s="45"/>
      <c r="C945" s="45"/>
      <c r="D945" s="45"/>
      <c r="E945" s="45"/>
      <c r="F945" s="45"/>
      <c r="G945" s="45"/>
      <c r="H945" s="45"/>
    </row>
    <row r="946" spans="1:8">
      <c r="A946" s="44"/>
      <c r="B946" s="44"/>
      <c r="C946" s="44"/>
      <c r="D946" s="44"/>
      <c r="E946" s="44"/>
      <c r="F946" s="44"/>
      <c r="G946" s="44"/>
      <c r="H946" s="44"/>
    </row>
    <row r="947" spans="1:8">
      <c r="A947" s="45"/>
      <c r="B947" s="45"/>
      <c r="C947" s="45"/>
      <c r="D947" s="45"/>
      <c r="E947" s="45"/>
      <c r="F947" s="45"/>
      <c r="G947" s="45"/>
      <c r="H947" s="45"/>
    </row>
    <row r="948" spans="1:8">
      <c r="A948" s="44"/>
      <c r="B948" s="44"/>
      <c r="C948" s="44"/>
      <c r="D948" s="44"/>
      <c r="E948" s="44"/>
      <c r="F948" s="44"/>
      <c r="G948" s="44"/>
      <c r="H948" s="44"/>
    </row>
    <row r="949" spans="1:8">
      <c r="A949" s="45"/>
      <c r="B949" s="45"/>
      <c r="C949" s="45"/>
      <c r="D949" s="45"/>
      <c r="E949" s="45"/>
      <c r="F949" s="45"/>
      <c r="G949" s="45"/>
      <c r="H949" s="45"/>
    </row>
    <row r="950" spans="1:8">
      <c r="A950" s="44"/>
      <c r="B950" s="44"/>
      <c r="C950" s="44"/>
      <c r="D950" s="44"/>
      <c r="E950" s="44"/>
      <c r="F950" s="44"/>
      <c r="G950" s="44"/>
      <c r="H950" s="44"/>
    </row>
    <row r="951" spans="1:8">
      <c r="A951" s="45"/>
      <c r="B951" s="45"/>
      <c r="C951" s="45"/>
      <c r="D951" s="45"/>
      <c r="E951" s="45"/>
      <c r="F951" s="45"/>
      <c r="G951" s="45"/>
      <c r="H951" s="45"/>
    </row>
    <row r="952" spans="1:8">
      <c r="A952" s="44"/>
      <c r="B952" s="44"/>
      <c r="C952" s="44"/>
      <c r="D952" s="44"/>
      <c r="E952" s="44"/>
      <c r="F952" s="44"/>
      <c r="G952" s="44"/>
      <c r="H952" s="44"/>
    </row>
    <row r="953" spans="1:8">
      <c r="A953" s="45"/>
      <c r="B953" s="45"/>
      <c r="C953" s="45"/>
      <c r="D953" s="45"/>
      <c r="E953" s="45"/>
      <c r="F953" s="45"/>
      <c r="G953" s="45"/>
      <c r="H953" s="45"/>
    </row>
    <row r="954" spans="1:8">
      <c r="A954" s="44"/>
      <c r="B954" s="44"/>
      <c r="C954" s="44"/>
      <c r="D954" s="44"/>
      <c r="E954" s="44"/>
      <c r="F954" s="44"/>
      <c r="G954" s="44"/>
      <c r="H954" s="44"/>
    </row>
    <row r="955" spans="1:8">
      <c r="A955" s="45"/>
      <c r="B955" s="45"/>
      <c r="C955" s="45"/>
      <c r="D955" s="45"/>
      <c r="E955" s="45"/>
      <c r="F955" s="45"/>
      <c r="G955" s="45"/>
      <c r="H955" s="45"/>
    </row>
    <row r="956" spans="1:8">
      <c r="A956" s="44"/>
      <c r="B956" s="44"/>
      <c r="C956" s="44"/>
      <c r="D956" s="44"/>
      <c r="E956" s="44"/>
      <c r="F956" s="44"/>
      <c r="G956" s="44"/>
      <c r="H956" s="44"/>
    </row>
    <row r="957" spans="1:8">
      <c r="A957" s="45"/>
      <c r="B957" s="45"/>
      <c r="C957" s="45"/>
      <c r="D957" s="45"/>
      <c r="E957" s="45"/>
      <c r="F957" s="45"/>
      <c r="G957" s="45"/>
      <c r="H957" s="45"/>
    </row>
    <row r="958" spans="1:8">
      <c r="A958" s="44"/>
      <c r="B958" s="44"/>
      <c r="C958" s="44"/>
      <c r="D958" s="44"/>
      <c r="E958" s="44"/>
      <c r="F958" s="44"/>
      <c r="G958" s="44"/>
      <c r="H958" s="44"/>
    </row>
    <row r="959" spans="1:8">
      <c r="A959" s="45"/>
      <c r="B959" s="45"/>
      <c r="C959" s="45"/>
      <c r="D959" s="45"/>
      <c r="E959" s="45"/>
      <c r="F959" s="45"/>
      <c r="G959" s="45"/>
      <c r="H959" s="45"/>
    </row>
    <row r="960" spans="1:8">
      <c r="A960" s="44"/>
      <c r="B960" s="44"/>
      <c r="C960" s="44"/>
      <c r="D960" s="44"/>
      <c r="E960" s="44"/>
      <c r="F960" s="44"/>
      <c r="G960" s="44"/>
      <c r="H960" s="44"/>
    </row>
    <row r="961" spans="1:8">
      <c r="A961" s="45"/>
      <c r="B961" s="45"/>
      <c r="C961" s="45"/>
      <c r="D961" s="45"/>
      <c r="E961" s="45"/>
      <c r="F961" s="45"/>
      <c r="G961" s="45"/>
      <c r="H961" s="45"/>
    </row>
    <row r="962" spans="1:8">
      <c r="A962" s="44"/>
      <c r="B962" s="44"/>
      <c r="C962" s="44"/>
      <c r="D962" s="44"/>
      <c r="E962" s="44"/>
      <c r="F962" s="44"/>
      <c r="G962" s="44"/>
      <c r="H962" s="44"/>
    </row>
    <row r="963" spans="1:8">
      <c r="A963" s="45"/>
      <c r="B963" s="45"/>
      <c r="C963" s="45"/>
      <c r="D963" s="45"/>
      <c r="E963" s="45"/>
      <c r="F963" s="45"/>
      <c r="G963" s="45"/>
      <c r="H963" s="45"/>
    </row>
    <row r="964" spans="1:8">
      <c r="A964" s="44"/>
      <c r="B964" s="44"/>
      <c r="C964" s="44"/>
      <c r="D964" s="44"/>
      <c r="E964" s="44"/>
      <c r="F964" s="44"/>
      <c r="G964" s="44"/>
      <c r="H964" s="44"/>
    </row>
    <row r="965" spans="1:8">
      <c r="A965" s="45"/>
      <c r="B965" s="45"/>
      <c r="C965" s="45"/>
      <c r="D965" s="45"/>
      <c r="E965" s="45"/>
      <c r="F965" s="45"/>
      <c r="G965" s="45"/>
      <c r="H965" s="45"/>
    </row>
    <row r="966" spans="1:8">
      <c r="A966" s="44"/>
      <c r="B966" s="44"/>
      <c r="C966" s="44"/>
      <c r="D966" s="44"/>
      <c r="E966" s="44"/>
      <c r="F966" s="44"/>
      <c r="G966" s="44"/>
      <c r="H966" s="44"/>
    </row>
    <row r="967" spans="1:8">
      <c r="A967" s="45"/>
      <c r="B967" s="45"/>
      <c r="C967" s="45"/>
      <c r="D967" s="45"/>
      <c r="E967" s="45"/>
      <c r="F967" s="45"/>
      <c r="G967" s="45"/>
      <c r="H967" s="45"/>
    </row>
    <row r="968" spans="1:8">
      <c r="A968" s="44"/>
      <c r="B968" s="44"/>
      <c r="C968" s="44"/>
      <c r="D968" s="44"/>
      <c r="E968" s="44"/>
      <c r="F968" s="44"/>
      <c r="G968" s="44"/>
      <c r="H968" s="44"/>
    </row>
    <row r="969" spans="1:8">
      <c r="A969" s="45"/>
      <c r="B969" s="45"/>
      <c r="C969" s="45"/>
      <c r="D969" s="45"/>
      <c r="E969" s="45"/>
      <c r="F969" s="45"/>
      <c r="G969" s="45"/>
      <c r="H969" s="45"/>
    </row>
    <row r="970" spans="1:8">
      <c r="A970" s="44"/>
      <c r="B970" s="44"/>
      <c r="C970" s="44"/>
      <c r="D970" s="44"/>
      <c r="E970" s="44"/>
      <c r="F970" s="44"/>
      <c r="G970" s="44"/>
      <c r="H970" s="44"/>
    </row>
    <row r="971" spans="1:8">
      <c r="A971" s="45"/>
      <c r="B971" s="45"/>
      <c r="C971" s="45"/>
      <c r="D971" s="45"/>
      <c r="E971" s="45"/>
      <c r="F971" s="45"/>
      <c r="G971" s="45"/>
      <c r="H971" s="45"/>
    </row>
    <row r="972" spans="1:8">
      <c r="A972" s="44"/>
      <c r="B972" s="44"/>
      <c r="C972" s="44"/>
      <c r="D972" s="44"/>
      <c r="E972" s="44"/>
      <c r="F972" s="44"/>
      <c r="G972" s="44"/>
      <c r="H972" s="44"/>
    </row>
    <row r="973" spans="1:8">
      <c r="A973" s="45"/>
      <c r="B973" s="45"/>
      <c r="C973" s="45"/>
      <c r="D973" s="45"/>
      <c r="E973" s="45"/>
      <c r="F973" s="45"/>
      <c r="G973" s="45"/>
      <c r="H973" s="45"/>
    </row>
    <row r="974" spans="1:8">
      <c r="A974" s="44"/>
      <c r="B974" s="44"/>
      <c r="C974" s="44"/>
      <c r="D974" s="44"/>
      <c r="E974" s="44"/>
      <c r="F974" s="44"/>
      <c r="G974" s="44"/>
      <c r="H974" s="44"/>
    </row>
    <row r="975" spans="1:8">
      <c r="A975" s="45"/>
      <c r="B975" s="45"/>
      <c r="C975" s="45"/>
      <c r="D975" s="45"/>
      <c r="E975" s="45"/>
      <c r="F975" s="45"/>
      <c r="G975" s="45"/>
      <c r="H975" s="45"/>
    </row>
    <row r="976" spans="1:8">
      <c r="A976" s="44"/>
      <c r="B976" s="44"/>
      <c r="C976" s="44"/>
      <c r="D976" s="44"/>
      <c r="E976" s="44"/>
      <c r="F976" s="44"/>
      <c r="G976" s="44"/>
      <c r="H976" s="44"/>
    </row>
    <row r="977" spans="1:8">
      <c r="A977" s="45"/>
      <c r="B977" s="45"/>
      <c r="C977" s="45"/>
      <c r="D977" s="45"/>
      <c r="E977" s="45"/>
      <c r="F977" s="45"/>
      <c r="G977" s="45"/>
      <c r="H977" s="45"/>
    </row>
    <row r="978" spans="1:8">
      <c r="A978" s="44"/>
      <c r="B978" s="44"/>
      <c r="C978" s="44"/>
      <c r="D978" s="44"/>
      <c r="E978" s="44"/>
      <c r="F978" s="44"/>
      <c r="G978" s="44"/>
      <c r="H978" s="44"/>
    </row>
    <row r="979" spans="1:8">
      <c r="A979" s="45"/>
      <c r="B979" s="45"/>
      <c r="C979" s="45"/>
      <c r="D979" s="45"/>
      <c r="E979" s="45"/>
      <c r="F979" s="45"/>
      <c r="G979" s="45"/>
      <c r="H979" s="45"/>
    </row>
    <row r="980" spans="1:8">
      <c r="A980" s="44"/>
      <c r="B980" s="44"/>
      <c r="C980" s="44"/>
      <c r="D980" s="44"/>
      <c r="E980" s="44"/>
      <c r="F980" s="44"/>
      <c r="G980" s="44"/>
      <c r="H980" s="44"/>
    </row>
    <row r="981" spans="1:8">
      <c r="A981" s="45"/>
      <c r="B981" s="45"/>
      <c r="C981" s="45"/>
      <c r="D981" s="45"/>
      <c r="E981" s="45"/>
      <c r="F981" s="45"/>
      <c r="G981" s="45"/>
      <c r="H981" s="45"/>
    </row>
    <row r="982" spans="1:8">
      <c r="A982" s="44"/>
      <c r="B982" s="44"/>
      <c r="C982" s="44"/>
      <c r="D982" s="44"/>
      <c r="E982" s="44"/>
      <c r="F982" s="44"/>
      <c r="G982" s="44"/>
      <c r="H982" s="44"/>
    </row>
    <row r="983" spans="1:8">
      <c r="A983" s="45"/>
      <c r="B983" s="45"/>
      <c r="C983" s="45"/>
      <c r="D983" s="45"/>
      <c r="E983" s="45"/>
      <c r="F983" s="45"/>
      <c r="G983" s="45"/>
      <c r="H983" s="45"/>
    </row>
    <row r="984" spans="1:8">
      <c r="A984" s="44"/>
      <c r="B984" s="44"/>
      <c r="C984" s="44"/>
      <c r="D984" s="44"/>
      <c r="E984" s="44"/>
      <c r="F984" s="44"/>
      <c r="G984" s="44"/>
      <c r="H984" s="44"/>
    </row>
    <row r="985" spans="1:8">
      <c r="A985" s="45"/>
      <c r="B985" s="45"/>
      <c r="C985" s="45"/>
      <c r="D985" s="45"/>
      <c r="E985" s="45"/>
      <c r="F985" s="45"/>
      <c r="G985" s="45"/>
      <c r="H985" s="45"/>
    </row>
    <row r="986" spans="1:8">
      <c r="A986" s="44"/>
      <c r="B986" s="44"/>
      <c r="C986" s="44"/>
      <c r="D986" s="44"/>
      <c r="E986" s="44"/>
      <c r="F986" s="44"/>
      <c r="G986" s="44"/>
      <c r="H986" s="44"/>
    </row>
    <row r="987" spans="1:8">
      <c r="A987" s="45"/>
      <c r="B987" s="45"/>
      <c r="C987" s="45"/>
      <c r="D987" s="45"/>
      <c r="E987" s="45"/>
      <c r="F987" s="45"/>
      <c r="G987" s="45"/>
      <c r="H987" s="45"/>
    </row>
    <row r="988" spans="1:8">
      <c r="A988" s="44"/>
      <c r="B988" s="44"/>
      <c r="C988" s="44"/>
      <c r="D988" s="44"/>
      <c r="E988" s="44"/>
      <c r="F988" s="44"/>
      <c r="G988" s="44"/>
      <c r="H988" s="44"/>
    </row>
    <row r="989" spans="1:8">
      <c r="A989" s="45"/>
      <c r="B989" s="45"/>
      <c r="C989" s="45"/>
      <c r="D989" s="45"/>
      <c r="E989" s="45"/>
      <c r="F989" s="45"/>
      <c r="G989" s="45"/>
      <c r="H989" s="45"/>
    </row>
    <row r="990" spans="1:8">
      <c r="A990" s="44"/>
      <c r="B990" s="44"/>
      <c r="C990" s="44"/>
      <c r="D990" s="44"/>
      <c r="E990" s="44"/>
      <c r="F990" s="44"/>
      <c r="G990" s="44"/>
      <c r="H990" s="44"/>
    </row>
    <row r="991" spans="1:8">
      <c r="A991" s="45"/>
      <c r="B991" s="45"/>
      <c r="C991" s="45"/>
      <c r="D991" s="45"/>
      <c r="E991" s="45"/>
      <c r="F991" s="45"/>
      <c r="G991" s="45"/>
      <c r="H991" s="45"/>
    </row>
    <row r="992" spans="1:8">
      <c r="A992" s="44"/>
      <c r="B992" s="44"/>
      <c r="C992" s="44"/>
      <c r="D992" s="44"/>
      <c r="E992" s="44"/>
      <c r="F992" s="44"/>
      <c r="G992" s="44"/>
      <c r="H992" s="44"/>
    </row>
    <row r="993" spans="1:8">
      <c r="A993" s="45"/>
      <c r="B993" s="45"/>
      <c r="C993" s="45"/>
      <c r="D993" s="45"/>
      <c r="E993" s="45"/>
      <c r="F993" s="45"/>
      <c r="G993" s="45"/>
      <c r="H993" s="45"/>
    </row>
    <row r="994" spans="1:8">
      <c r="A994" s="44"/>
      <c r="B994" s="44"/>
      <c r="C994" s="44"/>
      <c r="D994" s="44"/>
      <c r="E994" s="44"/>
      <c r="F994" s="44"/>
      <c r="G994" s="44"/>
      <c r="H994" s="44"/>
    </row>
    <row r="995" spans="1:8">
      <c r="A995" s="45"/>
      <c r="B995" s="45"/>
      <c r="C995" s="45"/>
      <c r="D995" s="45"/>
      <c r="E995" s="45"/>
      <c r="F995" s="45"/>
      <c r="G995" s="45"/>
      <c r="H995" s="45"/>
    </row>
    <row r="996" spans="1:8">
      <c r="A996" s="44"/>
      <c r="B996" s="44"/>
      <c r="C996" s="44"/>
      <c r="D996" s="44"/>
      <c r="E996" s="44"/>
      <c r="F996" s="44"/>
      <c r="G996" s="44"/>
      <c r="H996" s="44"/>
    </row>
    <row r="997" spans="1:8">
      <c r="A997" s="45"/>
      <c r="B997" s="45"/>
      <c r="C997" s="45"/>
      <c r="D997" s="45"/>
      <c r="E997" s="45"/>
      <c r="F997" s="45"/>
      <c r="G997" s="45"/>
      <c r="H997" s="45"/>
    </row>
    <row r="998" spans="1:8">
      <c r="A998" s="44"/>
      <c r="B998" s="44"/>
      <c r="C998" s="44"/>
      <c r="D998" s="44"/>
      <c r="E998" s="44"/>
      <c r="F998" s="44"/>
      <c r="G998" s="44"/>
      <c r="H998" s="44"/>
    </row>
    <row r="999" spans="1:8">
      <c r="A999" s="45"/>
      <c r="B999" s="45"/>
      <c r="C999" s="45"/>
      <c r="D999" s="45"/>
      <c r="E999" s="45"/>
      <c r="F999" s="45"/>
      <c r="G999" s="45"/>
      <c r="H999" s="45"/>
    </row>
    <row r="1000" spans="1:8">
      <c r="A1000" s="44"/>
      <c r="B1000" s="44"/>
      <c r="C1000" s="44"/>
      <c r="D1000" s="44"/>
      <c r="E1000" s="44"/>
      <c r="F1000" s="44"/>
      <c r="G1000" s="44"/>
      <c r="H1000" s="44"/>
    </row>
    <row r="1001" spans="1:8">
      <c r="A1001" s="45"/>
      <c r="B1001" s="45"/>
      <c r="C1001" s="45"/>
      <c r="D1001" s="45"/>
      <c r="E1001" s="45"/>
      <c r="F1001" s="45"/>
      <c r="G1001" s="45"/>
      <c r="H1001" s="45"/>
    </row>
    <row r="1002" spans="1:8">
      <c r="A1002" s="44"/>
      <c r="B1002" s="44"/>
      <c r="C1002" s="44"/>
      <c r="D1002" s="44"/>
      <c r="E1002" s="44"/>
      <c r="F1002" s="44"/>
      <c r="G1002" s="44"/>
      <c r="H1002" s="44"/>
    </row>
    <row r="1003" spans="1:8">
      <c r="A1003" s="45"/>
      <c r="B1003" s="45"/>
      <c r="C1003" s="45"/>
      <c r="D1003" s="45"/>
      <c r="E1003" s="45"/>
      <c r="F1003" s="45"/>
      <c r="G1003" s="45"/>
      <c r="H1003" s="45"/>
    </row>
    <row r="1004" spans="1:8">
      <c r="A1004" s="44"/>
      <c r="B1004" s="44"/>
      <c r="C1004" s="44"/>
      <c r="D1004" s="44"/>
      <c r="E1004" s="44"/>
      <c r="F1004" s="44"/>
      <c r="G1004" s="44"/>
      <c r="H1004" s="44"/>
    </row>
    <row r="1005" spans="1:8">
      <c r="A1005" s="45"/>
      <c r="B1005" s="45"/>
      <c r="C1005" s="45"/>
      <c r="D1005" s="45"/>
      <c r="E1005" s="45"/>
      <c r="F1005" s="45"/>
      <c r="G1005" s="45"/>
      <c r="H1005" s="45"/>
    </row>
    <row r="1006" spans="1:8">
      <c r="A1006" s="44"/>
      <c r="B1006" s="44"/>
      <c r="C1006" s="44"/>
      <c r="D1006" s="44"/>
      <c r="E1006" s="44"/>
      <c r="F1006" s="44"/>
      <c r="G1006" s="44"/>
      <c r="H1006" s="44"/>
    </row>
    <row r="1007" spans="1:8">
      <c r="A1007" s="45"/>
      <c r="B1007" s="45"/>
      <c r="C1007" s="45"/>
      <c r="D1007" s="45"/>
      <c r="E1007" s="45"/>
      <c r="F1007" s="45"/>
      <c r="G1007" s="45"/>
      <c r="H1007" s="45"/>
    </row>
    <row r="1008" spans="1:8">
      <c r="A1008" s="44"/>
      <c r="B1008" s="44"/>
      <c r="C1008" s="44"/>
      <c r="D1008" s="44"/>
      <c r="E1008" s="44"/>
      <c r="F1008" s="44"/>
      <c r="G1008" s="44"/>
      <c r="H1008" s="44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53</vt:i4>
      </vt:variant>
    </vt:vector>
  </HeadingPairs>
  <TitlesOfParts>
    <vt:vector size="64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Obs-Population</vt:lpstr>
      <vt:lpstr>Sheet1</vt:lpstr>
      <vt:lpstr>Obs-Prevalence</vt:lpstr>
      <vt:lpstr>Obs-OnART</vt:lpstr>
      <vt:lpstr>'Obs-OnART'!additional_columns</vt:lpstr>
      <vt:lpstr>'Obs-Population'!additional_columns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'Obs-OnART'!channel_name</vt:lpstr>
      <vt:lpstr>'Obs-Population'!channel_name</vt:lpstr>
      <vt:lpstr>'Obs-Prevalence'!channel_name</vt:lpstr>
      <vt:lpstr>'Observations metadata'!channel_pop_scaling</vt:lpstr>
      <vt:lpstr>Analyzers!channels</vt:lpstr>
      <vt:lpstr>'Obs-OnART'!csv</vt:lpstr>
      <vt:lpstr>'Obs-Population'!csv</vt:lpstr>
      <vt:lpstr>'Obs-Prevalence'!csv</vt:lpstr>
      <vt:lpstr>Analyzers!custom_age_bins</vt:lpstr>
      <vt:lpstr>'Obs-OnART'!data_channels</vt:lpstr>
      <vt:lpstr>'Obs-Population'!data_channels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'Obs-OnART'!stratifiers</vt:lpstr>
      <vt:lpstr>'Obs-Population'!stratifiers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Supriya Sarkar</cp:lastModifiedBy>
  <dcterms:created xsi:type="dcterms:W3CDTF">2018-02-08T20:55:40Z</dcterms:created>
  <dcterms:modified xsi:type="dcterms:W3CDTF">2018-12-13T19:11:12Z</dcterms:modified>
</cp:coreProperties>
</file>